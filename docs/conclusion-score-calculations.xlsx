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Nodes" sheetId="3" state="visible" r:id="rId5"/>
    <sheet name="Edges" sheetId="4" state="visible" r:id="rId6"/>
    <sheet name="Scoreboard" sheetId="5" state="visible" r:id="rId7"/>
    <sheet name="Walkthroug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<sst xmlns="http://schemas.openxmlformats.org/spreadsheetml/2006/main" count="367" uniqueCount="193">
  <si>
    <t xml:space="preserve">Conclusion Score — every calculation, live</t>
  </si>
  <si>
    <t xml:space="preserve">This workbook is a working model of the original Idea Stock Exchange scoring process — the</t>
  </si>
  <si>
    <t xml:space="preserve">one from 'Conclusions about the Church with arguments in separate columns'. Every conclusion</t>
  </si>
  <si>
    <t xml:space="preserve">lists reasons to agree and reasons to disagree; every listed reason is worth one point to its</t>
  </si>
  <si>
    <t xml:space="preserve">column; a reason with its own page adds its own score, weighted by the edge's linkage score</t>
  </si>
  <si>
    <t xml:space="preserve">and the sub-argument multiplier m:</t>
  </si>
  <si>
    <t xml:space="preserve">    score = (nAgree - nDisagree) + m x ( sum agree childScore x LS  -  sum disagree childScore x LS )</t>
  </si>
  <si>
    <t xml:space="preserve">    LS    = (linkAgree - linkDisagree) / (linkAgree + linkDisagree),   1 when undebated</t>
  </si>
  <si>
    <t xml:space="preserve">Sheets:</t>
  </si>
  <si>
    <t xml:space="preserve">    Scoreboard   every conclusion ranked by its live score (the old Index sheet)</t>
  </si>
  <si>
    <t xml:space="preserve">    Walkthrough  one score derived step by step, with a linkage mini-calculator</t>
  </si>
  <si>
    <t xml:space="preserve">    Nodes        one row per conclusion: counts, sums, and the score formula</t>
  </si>
  <si>
    <t xml:space="preserve">    Edges        one row per listed reason: linkage votes (editable) and contributions</t>
  </si>
  <si>
    <t xml:space="preserve">    Settings     the sub-argument multiplier m (editable)</t>
  </si>
  <si>
    <t xml:space="preserve">Kick the tires:</t>
  </si>
  <si>
    <t xml:space="preserve">    1. Set Settings!B3 to 1.0  -&gt;  the church set reproduces the original workbook exactly:</t>
  </si>
  <si>
    <t xml:space="preserve">       46 scores 16, 47 scores 8, 45 scores 6, 48 scores 2.  Back to 0.7: 46 scores 10.699.</t>
  </si>
  <si>
    <t xml:space="preserve">    2. On Edges, give row 'e46-297' some linkage votes (say 1 agree, 3 disagree -&gt; LS = -0.5)</t>
  </si>
  <si>
    <t xml:space="preserve">       and watch conclusion 46 drop on the Scoreboard.</t>
  </si>
  <si>
    <t xml:space="preserve">    3. Add a reason: new row on Edges (any parent, side agree/disagree, copy F/I/J/K down).</t>
  </si>
  <si>
    <t xml:space="preserve">       The parent gains a point plus the weighted sub-score.</t>
  </si>
  <si>
    <t xml:space="preserve">Legend:</t>
  </si>
  <si>
    <t xml:space="preserve">    Blue text in a bordered cell = yours to edit    Yellow fill = the key lever / final result</t>
  </si>
  <si>
    <t xml:space="preserve">    Black = formula                                 Green = pulled live from another sheet</t>
  </si>
  <si>
    <t xml:space="preserve">Example data:</t>
  </si>
  <si>
    <t xml:space="preserve">    church  the belief-46 subtree of the founding workbook (text-only reasons normalized to</t>
  </si>
  <si>
    <t xml:space="preserve">            leaf conclusions 301-311; source: the uploaded 2014-era spreadsheet, sheet '46')</t>
  </si>
  <si>
    <t xml:space="preserve">    trees   a synthetic example whose linkage sub-debates are populated (LS = 1.0 and 0.5)</t>
  </si>
  <si>
    <t xml:space="preserve">The same process, verified against the same numbers, elsewhere in the repo:</t>
  </si>
  <si>
    <t xml:space="preserve">    src/lib/conclusion-score.ts                TypeScript engine + unit tests</t>
  </si>
  <si>
    <t xml:space="preserve">    sql/conclusion_score_process.sql           MySQL/MariaDB schema, recursive CTE</t>
  </si>
  <si>
    <t xml:space="preserve">    examples/php-score-retrieval/              runnable PHP + SQLite demo pages</t>
  </si>
  <si>
    <t xml:space="preserve">Settings</t>
  </si>
  <si>
    <t xml:space="preserve">Sub-argument multiplier (m)</t>
  </si>
  <si>
    <t xml:space="preserve">EDIT ME. The workbook's Index!O1 cell. 0.7 = the documented intent (each level of sub-arguments counts 70% as much). Set to 1.0 to reproduce the original workbook's live sheets exactly (46 scores 16, 47 scores 8, 45 scores 6).</t>
  </si>
  <si>
    <t xml:space="preserve">Undebated linkage default</t>
  </si>
  <si>
    <t xml:space="preserve">Informational: an edge with no linkage votes uses LS = 1 (the Edges sheet formula applies this; changing this cell has no effect). A reason is assumed on-topic until someone debates the linkage.</t>
  </si>
  <si>
    <t xml:space="preserve">Nodes — one row per conclusion (the workbook's numbered sheets)</t>
  </si>
  <si>
    <t xml:space="preserve">Nothing to edit here: counts and sums aggregate the Edges sheet; the score is raw + m x (sum agree - sum disagree). Add rows on Edges and these update.</t>
  </si>
  <si>
    <t xml:space="preserve">ID</t>
  </si>
  <si>
    <t xml:space="preserve">Conclusion</t>
  </si>
  <si>
    <t xml:space="preserve">Set</t>
  </si>
  <si>
    <t xml:space="preserve"># agree</t>
  </si>
  <si>
    <t xml:space="preserve"># disagree</t>
  </si>
  <si>
    <t xml:space="preserve">Sum agree contrib</t>
  </si>
  <si>
    <t xml:space="preserve">Sum disagree contrib</t>
  </si>
  <si>
    <t xml:space="preserve">Score</t>
  </si>
  <si>
    <t xml:space="preserve">Rank in set</t>
  </si>
  <si>
    <t xml:space="preserve">46</t>
  </si>
  <si>
    <t xml:space="preserve">Mormons should not be afraid of investigating the truth about their religion.</t>
  </si>
  <si>
    <t xml:space="preserve">church</t>
  </si>
  <si>
    <t xml:space="preserve">47</t>
  </si>
  <si>
    <t xml:space="preserve">Many LDS church leaders have encouraged the complete and utter loyalty to the Truth.</t>
  </si>
  <si>
    <t xml:space="preserve">45</t>
  </si>
  <si>
    <t xml:space="preserve">President J. Reuben Clark was right: if we have the truth, it cannot be harmed by investigation.</t>
  </si>
  <si>
    <t xml:space="preserve">30</t>
  </si>
  <si>
    <t xml:space="preserve">God is truth and knowledge; hiding truth to keep people in a religion is the opposite of God.</t>
  </si>
  <si>
    <t xml:space="preserve">48</t>
  </si>
  <si>
    <t xml:space="preserve">LDS doctrine teaches that you cannot be saved in ignorance.</t>
  </si>
  <si>
    <t xml:space="preserve">296</t>
  </si>
  <si>
    <t xml:space="preserve">If you cannot be saved in ignorance, you will eventually learn about all the Church's warts.</t>
  </si>
  <si>
    <t xml:space="preserve">297</t>
  </si>
  <si>
    <t xml:space="preserve">Even if the Mormon Church is true, its leaders should not use half truths to keep people in it.</t>
  </si>
  <si>
    <t xml:space="preserve">301</t>
  </si>
  <si>
    <t xml:space="preserve">The whole narrative of Joseph Smith starting the Church is that he asked of God (James 1:5).</t>
  </si>
  <si>
    <t xml:space="preserve">302</t>
  </si>
  <si>
    <t xml:space="preserve">D&amp;C 131:6: It is impossible for a man to be saved in ignorance.</t>
  </si>
  <si>
    <t xml:space="preserve">303</t>
  </si>
  <si>
    <t xml:space="preserve">D&amp;C 137:7: All who have died without a knowledge of this gospel... shall be heirs.</t>
  </si>
  <si>
    <t xml:space="preserve">304</t>
  </si>
  <si>
    <t xml:space="preserve">What information you expose yourself to determines what you learn eventually.</t>
  </si>
  <si>
    <t xml:space="preserve">305</t>
  </si>
  <si>
    <t xml:space="preserve">Telling half truths or hiding the whole truth serves an agenda other than truth.</t>
  </si>
  <si>
    <t xml:space="preserve">306</t>
  </si>
  <si>
    <t xml:space="preserve">Truth is always helped by honest, logical, transparent investigation.</t>
  </si>
  <si>
    <t xml:space="preserve">307</t>
  </si>
  <si>
    <t xml:space="preserve">Even if the Mormon Church is true, they shouldn't lie to keep people in it.</t>
  </si>
  <si>
    <t xml:space="preserve">308</t>
  </si>
  <si>
    <t xml:space="preserve">If God wants everyone to be Mormon, it is more important to tell faith-promoting stories.</t>
  </si>
  <si>
    <t xml:space="preserve">309</t>
  </si>
  <si>
    <t xml:space="preserve">The 10 commandments tell us not to bear false witness.</t>
  </si>
  <si>
    <t xml:space="preserve">310</t>
  </si>
  <si>
    <t xml:space="preserve">Mormons are told not to lie, or do anything like unto it.</t>
  </si>
  <si>
    <t xml:space="preserve">311</t>
  </si>
  <si>
    <t xml:space="preserve">Jesus said people should be given milk before meat.</t>
  </si>
  <si>
    <t xml:space="preserve">t1</t>
  </si>
  <si>
    <t xml:space="preserve">Our city should plant more street trees.</t>
  </si>
  <si>
    <t xml:space="preserve">trees</t>
  </si>
  <si>
    <t xml:space="preserve">t2</t>
  </si>
  <si>
    <t xml:space="preserve">Street trees measurably cool neighborhoods in summer.</t>
  </si>
  <si>
    <t xml:space="preserve">t3</t>
  </si>
  <si>
    <t xml:space="preserve">Street trees increase nearby property values.</t>
  </si>
  <si>
    <t xml:space="preserve">t4</t>
  </si>
  <si>
    <t xml:space="preserve">Tree roots damage sidewalks and raise repair costs.</t>
  </si>
  <si>
    <t xml:space="preserve">t5</t>
  </si>
  <si>
    <t xml:space="preserve">Shaded pavement stays 10-15 degrees cooler in heat waves.</t>
  </si>
  <si>
    <t xml:space="preserve">t6</t>
  </si>
  <si>
    <t xml:space="preserve">Tree canopy lowers home cooling bills.</t>
  </si>
  <si>
    <t xml:space="preserve">t7</t>
  </si>
  <si>
    <t xml:space="preserve">Studies show a price premium for tree-lined streets.</t>
  </si>
  <si>
    <t xml:space="preserve">t8</t>
  </si>
  <si>
    <t xml:space="preserve">The premium disappears after controlling for neighborhood wealth.</t>
  </si>
  <si>
    <t xml:space="preserve">t9</t>
  </si>
  <si>
    <t xml:space="preserve">Root barriers and proper species choice prevent most damage.</t>
  </si>
  <si>
    <t xml:space="preserve">Edges — one row per listed reason (the two columns on each workbook sheet)</t>
  </si>
  <si>
    <t xml:space="preserve">Blue cells are editable: linkage votes from the edge's sub-debate ('if this reason were true, would it really support that conclusion?'). LS = (agree - disagree) / (agree + disagree), or 1 when undebated. Contribution = child score x LS; the Nodes sheet multiplies it by m. To add a reason: insert a row INSIDE its parent's block of rows (so the parent's bounded ranges auto-expand), copy F/I/K down, and point J at the child's Nodes score cell.</t>
  </si>
  <si>
    <t xml:space="preserve">Edge</t>
  </si>
  <si>
    <t xml:space="preserve">Parent ID</t>
  </si>
  <si>
    <t xml:space="preserve">Parent conclusion</t>
  </si>
  <si>
    <t xml:space="preserve">Side</t>
  </si>
  <si>
    <t xml:space="preserve">Child ID</t>
  </si>
  <si>
    <t xml:space="preserve">Child statement</t>
  </si>
  <si>
    <t xml:space="preserve">Linkage agree votes</t>
  </si>
  <si>
    <t xml:space="preserve">Linkage disagree votes</t>
  </si>
  <si>
    <t xml:space="preserve">Linkage score (LS)</t>
  </si>
  <si>
    <t xml:space="preserve">Child score</t>
  </si>
  <si>
    <t xml:space="preserve">Contribution (child x LS)</t>
  </si>
  <si>
    <t xml:space="preserve">e46-47</t>
  </si>
  <si>
    <t xml:space="preserve">agree</t>
  </si>
  <si>
    <t xml:space="preserve">e46-48</t>
  </si>
  <si>
    <t xml:space="preserve">e46-296</t>
  </si>
  <si>
    <t xml:space="preserve">e46-297</t>
  </si>
  <si>
    <t xml:space="preserve">e47-45</t>
  </si>
  <si>
    <t xml:space="preserve">e47-301</t>
  </si>
  <si>
    <t xml:space="preserve">e48-302</t>
  </si>
  <si>
    <t xml:space="preserve">e48-303</t>
  </si>
  <si>
    <t xml:space="preserve">e296-304</t>
  </si>
  <si>
    <t xml:space="preserve">e297-305</t>
  </si>
  <si>
    <t xml:space="preserve">e45-30</t>
  </si>
  <si>
    <t xml:space="preserve">e45-48</t>
  </si>
  <si>
    <t xml:space="preserve">e45-306</t>
  </si>
  <si>
    <t xml:space="preserve">e45-307</t>
  </si>
  <si>
    <t xml:space="preserve">e45-308</t>
  </si>
  <si>
    <t xml:space="preserve">disagree</t>
  </si>
  <si>
    <t xml:space="preserve">e30-309</t>
  </si>
  <si>
    <t xml:space="preserve">e30-310</t>
  </si>
  <si>
    <t xml:space="preserve">e30-311</t>
  </si>
  <si>
    <t xml:space="preserve">et1-t2</t>
  </si>
  <si>
    <t xml:space="preserve">et1-t3</t>
  </si>
  <si>
    <t xml:space="preserve">et1-t4</t>
  </si>
  <si>
    <t xml:space="preserve">et2-t5</t>
  </si>
  <si>
    <t xml:space="preserve">et2-t6</t>
  </si>
  <si>
    <t xml:space="preserve">et3-t7</t>
  </si>
  <si>
    <t xml:space="preserve">et3-t8</t>
  </si>
  <si>
    <t xml:space="preserve">et4-t9</t>
  </si>
  <si>
    <t xml:space="preserve">Scoreboard — every conclusion, ranked (the workbook's Index sheet)</t>
  </si>
  <si>
    <t xml:space="preserve">All values are live lookups into Nodes. Rows are printed in the default (m = 0.7) order; if you change inputs, the Rank column re-ranks even though rows stay put.</t>
  </si>
  <si>
    <t xml:space="preserve">From the original workbook (belief 46 and its sub-arguments)</t>
  </si>
  <si>
    <t xml:space="preserve">Rank</t>
  </si>
  <si>
    <t xml:space="preserve">Synthetic street-trees example (exercises linkage scores)</t>
  </si>
  <si>
    <t xml:space="preserve">How one score is computed, step by step</t>
  </si>
  <si>
    <t xml:space="preserve">Column C shows the formula in words; column D computes it live. Change Settings!B3 or any blue cell on Edges and watch every step move.</t>
  </si>
  <si>
    <t xml:space="preserve">Conclusion t1: Our city should plant more street trees.</t>
  </si>
  <si>
    <t xml:space="preserve">Step</t>
  </si>
  <si>
    <t xml:space="preserve">What</t>
  </si>
  <si>
    <t xml:space="preserve">How</t>
  </si>
  <si>
    <t xml:space="preserve">Value</t>
  </si>
  <si>
    <t xml:space="preserve">1</t>
  </si>
  <si>
    <t xml:space="preserve">Count the reasons to agree</t>
  </si>
  <si>
    <t xml:space="preserve">COUNTIFS on Edges, side = agree</t>
  </si>
  <si>
    <t xml:space="preserve">2</t>
  </si>
  <si>
    <t xml:space="preserve">Count the reasons to disagree</t>
  </si>
  <si>
    <t xml:space="preserve">COUNTIFS on Edges, side = disagree</t>
  </si>
  <si>
    <t xml:space="preserve">3</t>
  </si>
  <si>
    <t xml:space="preserve">Raw score</t>
  </si>
  <si>
    <t xml:space="preserve">step 1 - step 2 (one point per listed reason)</t>
  </si>
  <si>
    <t xml:space="preserve">4</t>
  </si>
  <si>
    <t xml:space="preserve">Each reason's own score, weighted by its linkage</t>
  </si>
  <si>
    <t xml:space="preserve">rows pulled live from the Edges sheet</t>
  </si>
  <si>
    <t xml:space="preserve">Reason (child)</t>
  </si>
  <si>
    <t xml:space="preserve">Own score</t>
  </si>
  <si>
    <t xml:space="preserve">LS</t>
  </si>
  <si>
    <t xml:space="preserve">Child x LS</t>
  </si>
  <si>
    <t xml:space="preserve">5</t>
  </si>
  <si>
    <t xml:space="preserve">Sum of agree contributions</t>
  </si>
  <si>
    <t xml:space="preserve">SUMIFS over the rows above (agree side)</t>
  </si>
  <si>
    <t xml:space="preserve">6</t>
  </si>
  <si>
    <t xml:space="preserve">Sum of disagree contributions</t>
  </si>
  <si>
    <t xml:space="preserve">SUMIFS over the rows above (disagree side)</t>
  </si>
  <si>
    <t xml:space="preserve">7</t>
  </si>
  <si>
    <t xml:space="preserve">The sub-argument multiplier m</t>
  </si>
  <si>
    <t xml:space="preserve">Settings!B3 (the workbook's Index!O1)</t>
  </si>
  <si>
    <t xml:space="preserve">8</t>
  </si>
  <si>
    <t xml:space="preserve">Final score</t>
  </si>
  <si>
    <t xml:space="preserve">step 3 + m x (step 5 - step 6)</t>
  </si>
  <si>
    <t xml:space="preserve">Check: equals the Nodes-sheet score for this row?</t>
  </si>
  <si>
    <t xml:space="preserve">Conclusion 46: Mormons should not be afraid of investigating the truth about their religion.</t>
  </si>
  <si>
    <t xml:space="preserve">Linkage score mini-calculator</t>
  </si>
  <si>
    <t xml:space="preserve">An edge's linkage score comes from its own little debate: 'if this reason were true, would it actually support that conclusion?' Type any vote counts:</t>
  </si>
  <si>
    <t xml:space="preserve">Votes agree</t>
  </si>
  <si>
    <t xml:space="preserve">Votes disagree</t>
  </si>
  <si>
    <t xml:space="preserve">Linkage score</t>
  </si>
  <si>
    <t xml:space="preserve">Undebated (0/0) defaults to 1: a reason is assumed on-topic until someone argues otherwise. Unanimous disagreement reaches -1: the 'reason' actually undermines the conclusion it was filed under.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</si>
</sst>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#"/>
    <numFmt numFmtId="166" formatCode="0.####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sz val="9"/>
      <name val="Courier New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275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FFF"/>
        <bgColor rgb="FFECFDF5"/>
      </patternFill>
    </fill>
    <fill>
      <patternFill patternType="solid">
        <fgColor rgb="FFECFDF5"/>
        <bgColor rgb="FFE8EFFF"/>
      </patternFill>
    </fill>
    <fill>
      <patternFill patternType="solid">
        <fgColor rgb="FFFEF2F2"/>
        <bgColor rgb="FFE8E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E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DF5"/>
      <rgbColor rgb="FFE8EFFF"/>
      <rgbColor rgb="FF660066"/>
      <rgbColor rgb="FFFF8080"/>
      <rgbColor rgb="FF0066CC"/>
      <rgbColor rgb="FFC9CF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/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 t="s">
        <v>27</v>
      </c>
    </row>
    <row r="35" customFormat="false" ht="15" hidden="false" customHeight="true" outlineLevel="0" collapsed="false">
      <c r="A35" s="3"/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 t="s">
        <v>29</v>
      </c>
    </row>
    <row r="38" customFormat="false" ht="15" hidden="false" customHeight="true" outlineLevel="0" collapsed="false">
      <c r="A38" s="3" t="s">
        <v>30</v>
      </c>
    </row>
    <row r="39" customFormat="false" ht="15" hidden="false" customHeight="true" outlineLevel="0" collapsed="false">
      <c r="A39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00"/>
  </cols>
  <sheetData>
    <row r="1" customFormat="false" ht="19.5" hidden="false" customHeight="true" outlineLevel="0" collapsed="false">
      <c r="A1" s="2" t="s">
        <v>32</v>
      </c>
    </row>
    <row r="3" customFormat="false" ht="15" hidden="false" customHeight="true" outlineLevel="0" collapsed="false">
      <c r="A3" s="5" t="s">
        <v>33</v>
      </c>
      <c r="B3" s="6" t="n">
        <v>0.7</v>
      </c>
      <c r="C3" s="7" t="s">
        <v>34</v>
      </c>
    </row>
    <row r="5" customFormat="false" ht="15" hidden="false" customHeight="true" outlineLevel="0" collapsed="false">
      <c r="A5" s="5" t="s">
        <v>35</v>
      </c>
      <c r="B5" s="8" t="n">
        <v>1</v>
      </c>
      <c r="C5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2"/>
    <col collapsed="false" customWidth="true" hidden="false" outlineLevel="0" max="3" min="3" style="1" width="8"/>
    <col collapsed="false" customWidth="true" hidden="false" outlineLevel="0" max="9" min="4" style="1" width="13"/>
  </cols>
  <sheetData>
    <row r="1" customFormat="false" ht="15" hidden="false" customHeight="true" outlineLevel="0" collapsed="false">
      <c r="A1" s="9" t="s">
        <v>37</v>
      </c>
    </row>
    <row r="2" customFormat="false" ht="15" hidden="false" customHeight="true" outlineLevel="0" collapsed="false">
      <c r="A2" s="7" t="s">
        <v>38</v>
      </c>
    </row>
    <row r="4" customFormat="false" ht="15" hidden="false" customHeight="true" outlineLevel="0" collapsed="false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</row>
    <row r="5" customFormat="false" ht="15" hidden="false" customHeight="true" outlineLevel="0" collapsed="false">
      <c r="A5" s="3" t="s">
        <v>48</v>
      </c>
      <c r="B5" s="3" t="s">
        <v>49</v>
      </c>
      <c r="C5" s="3" t="s">
        <v>50</v>
      </c>
      <c r="D5" s="3" t="n">
        <f aca="false">COUNTIF(Edges!$D$5:$D$8,"agree")</f>
        <v>4</v>
      </c>
      <c r="E5" s="3" t="n">
        <f aca="false">COUNTIF(Edges!$D$5:$D$8,"disagree")</f>
        <v>0</v>
      </c>
      <c r="F5" s="11" t="n">
        <f aca="false">SUMIF(Edges!$D$5:$D$8,"agree",Edges!$K$5:$K$8)</f>
        <v>9.57</v>
      </c>
      <c r="G5" s="11" t="n">
        <f aca="false">SUMIF(Edges!$D$5:$D$8,"disagree",Edges!$K$5:$K$8)</f>
        <v>0</v>
      </c>
      <c r="H5" s="12" t="n">
        <f aca="false">D5-E5+Settings!$B$3*(F5-G5)</f>
        <v>10.699</v>
      </c>
      <c r="I5" s="3" t="n">
        <f aca="false">1+COUNTIFS($C$5:$C$120,$C5,$H$5:$H$120,"&gt;"&amp;$H5)</f>
        <v>1</v>
      </c>
    </row>
    <row r="6" customFormat="false" ht="15" hidden="false" customHeight="true" outlineLevel="0" collapsed="false">
      <c r="A6" s="3" t="s">
        <v>51</v>
      </c>
      <c r="B6" s="3" t="s">
        <v>52</v>
      </c>
      <c r="C6" s="3" t="s">
        <v>50</v>
      </c>
      <c r="D6" s="3" t="n">
        <f aca="false">COUNTIF(Edges!$D$9:$D$10,"agree")</f>
        <v>2</v>
      </c>
      <c r="E6" s="3" t="n">
        <f aca="false">COUNTIF(Edges!$D$9:$D$10,"disagree")</f>
        <v>0</v>
      </c>
      <c r="F6" s="11" t="n">
        <f aca="false">SUMIF(Edges!$D$9:$D$10,"agree",Edges!$K$9:$K$10)</f>
        <v>5.1</v>
      </c>
      <c r="G6" s="11" t="n">
        <f aca="false">SUMIF(Edges!$D$9:$D$10,"disagree",Edges!$K$9:$K$10)</f>
        <v>0</v>
      </c>
      <c r="H6" s="12" t="n">
        <f aca="false">D6-E6+Settings!$B$3*(F6-G6)</f>
        <v>5.57</v>
      </c>
      <c r="I6" s="3" t="n">
        <f aca="false">1+COUNTIFS($C$5:$C$120,$C6,$H$5:$H$120,"&gt;"&amp;$H6)</f>
        <v>2</v>
      </c>
    </row>
    <row r="7" customFormat="false" ht="15" hidden="false" customHeight="true" outlineLevel="0" collapsed="false">
      <c r="A7" s="3" t="s">
        <v>53</v>
      </c>
      <c r="B7" s="3" t="s">
        <v>54</v>
      </c>
      <c r="C7" s="3" t="s">
        <v>50</v>
      </c>
      <c r="D7" s="3" t="n">
        <f aca="false">COUNTIF(Edges!$D$15:$D$19,"agree")</f>
        <v>4</v>
      </c>
      <c r="E7" s="3" t="n">
        <f aca="false">COUNTIF(Edges!$D$15:$D$19,"disagree")</f>
        <v>1</v>
      </c>
      <c r="F7" s="11" t="n">
        <f aca="false">SUMIF(Edges!$D$15:$D$19,"agree",Edges!$K$15:$K$19)</f>
        <v>3</v>
      </c>
      <c r="G7" s="11" t="n">
        <f aca="false">SUMIF(Edges!$D$15:$D$19,"disagree",Edges!$K$15:$K$19)</f>
        <v>0</v>
      </c>
      <c r="H7" s="12" t="n">
        <f aca="false">D7-E7+Settings!$B$3*(F7-G7)</f>
        <v>5.1</v>
      </c>
      <c r="I7" s="3" t="n">
        <f aca="false">1+COUNTIFS($C$5:$C$120,$C7,$H$5:$H$120,"&gt;"&amp;$H7)</f>
        <v>3</v>
      </c>
    </row>
    <row r="8" customFormat="false" ht="15" hidden="false" customHeight="true" outlineLevel="0" collapsed="false">
      <c r="A8" s="3" t="s">
        <v>55</v>
      </c>
      <c r="B8" s="3" t="s">
        <v>56</v>
      </c>
      <c r="C8" s="3" t="s">
        <v>50</v>
      </c>
      <c r="D8" s="3" t="n">
        <f aca="false">COUNTIF(Edges!$D$20:$D$22,"agree")</f>
        <v>2</v>
      </c>
      <c r="E8" s="3" t="n">
        <f aca="false">COUNTIF(Edges!$D$20:$D$22,"disagree")</f>
        <v>1</v>
      </c>
      <c r="F8" s="11" t="n">
        <f aca="false">SUMIF(Edges!$D$20:$D$22,"agree",Edges!$K$20:$K$22)</f>
        <v>0</v>
      </c>
      <c r="G8" s="11" t="n">
        <f aca="false">SUMIF(Edges!$D$20:$D$22,"disagree",Edges!$K$20:$K$22)</f>
        <v>0</v>
      </c>
      <c r="H8" s="12" t="n">
        <f aca="false">D8-E8+Settings!$B$3*(F8-G8)</f>
        <v>1</v>
      </c>
      <c r="I8" s="3" t="n">
        <f aca="false">1+COUNTIFS($C$5:$C$120,$C8,$H$5:$H$120,"&gt;"&amp;$H8)</f>
        <v>5</v>
      </c>
    </row>
    <row r="9" customFormat="false" ht="15" hidden="false" customHeight="true" outlineLevel="0" collapsed="false">
      <c r="A9" s="3" t="s">
        <v>57</v>
      </c>
      <c r="B9" s="3" t="s">
        <v>58</v>
      </c>
      <c r="C9" s="3" t="s">
        <v>50</v>
      </c>
      <c r="D9" s="3" t="n">
        <f aca="false">COUNTIF(Edges!$D$11:$D$12,"agree")</f>
        <v>2</v>
      </c>
      <c r="E9" s="3" t="n">
        <f aca="false">COUNTIF(Edges!$D$11:$D$12,"disagree")</f>
        <v>0</v>
      </c>
      <c r="F9" s="11" t="n">
        <f aca="false">SUMIF(Edges!$D$11:$D$12,"agree",Edges!$K$11:$K$12)</f>
        <v>0</v>
      </c>
      <c r="G9" s="11" t="n">
        <f aca="false">SUMIF(Edges!$D$11:$D$12,"disagree",Edges!$K$11:$K$12)</f>
        <v>0</v>
      </c>
      <c r="H9" s="12" t="n">
        <f aca="false">D9-E9+Settings!$B$3*(F9-G9)</f>
        <v>2</v>
      </c>
      <c r="I9" s="3" t="n">
        <f aca="false">1+COUNTIFS($C$5:$C$120,$C9,$H$5:$H$120,"&gt;"&amp;$H9)</f>
        <v>4</v>
      </c>
    </row>
    <row r="10" customFormat="false" ht="15" hidden="false" customHeight="true" outlineLevel="0" collapsed="false">
      <c r="A10" s="3" t="s">
        <v>59</v>
      </c>
      <c r="B10" s="3" t="s">
        <v>60</v>
      </c>
      <c r="C10" s="3" t="s">
        <v>50</v>
      </c>
      <c r="D10" s="3" t="n">
        <f aca="false">COUNTIF(Edges!$D$13:$D$13,"agree")</f>
        <v>1</v>
      </c>
      <c r="E10" s="3" t="n">
        <f aca="false">COUNTIF(Edges!$D$13:$D$13,"disagree")</f>
        <v>0</v>
      </c>
      <c r="F10" s="11" t="n">
        <f aca="false">SUMIF(Edges!$D$13:$D$13,"agree",Edges!$K$13:$K$13)</f>
        <v>0</v>
      </c>
      <c r="G10" s="11" t="n">
        <f aca="false">SUMIF(Edges!$D$13:$D$13,"disagree",Edges!$K$13:$K$13)</f>
        <v>0</v>
      </c>
      <c r="H10" s="12" t="n">
        <f aca="false">D10-E10+Settings!$B$3*(F10-G10)</f>
        <v>1</v>
      </c>
      <c r="I10" s="3" t="n">
        <f aca="false">1+COUNTIFS($C$5:$C$120,$C10,$H$5:$H$120,"&gt;"&amp;$H10)</f>
        <v>5</v>
      </c>
    </row>
    <row r="11" customFormat="false" ht="15" hidden="false" customHeight="true" outlineLevel="0" collapsed="false">
      <c r="A11" s="3" t="s">
        <v>61</v>
      </c>
      <c r="B11" s="3" t="s">
        <v>62</v>
      </c>
      <c r="C11" s="3" t="s">
        <v>50</v>
      </c>
      <c r="D11" s="3" t="n">
        <f aca="false">COUNTIF(Edges!$D$14:$D$14,"agree")</f>
        <v>1</v>
      </c>
      <c r="E11" s="3" t="n">
        <f aca="false">COUNTIF(Edges!$D$14:$D$14,"disagree")</f>
        <v>0</v>
      </c>
      <c r="F11" s="11" t="n">
        <f aca="false">SUMIF(Edges!$D$14:$D$14,"agree",Edges!$K$14:$K$14)</f>
        <v>0</v>
      </c>
      <c r="G11" s="11" t="n">
        <f aca="false">SUMIF(Edges!$D$14:$D$14,"disagree",Edges!$K$14:$K$14)</f>
        <v>0</v>
      </c>
      <c r="H11" s="12" t="n">
        <f aca="false">D11-E11+Settings!$B$3*(F11-G11)</f>
        <v>1</v>
      </c>
      <c r="I11" s="3" t="n">
        <f aca="false">1+COUNTIFS($C$5:$C$120,$C11,$H$5:$H$120,"&gt;"&amp;$H11)</f>
        <v>5</v>
      </c>
    </row>
    <row r="12" customFormat="false" ht="15" hidden="false" customHeight="true" outlineLevel="0" collapsed="false">
      <c r="A12" s="3" t="s">
        <v>63</v>
      </c>
      <c r="B12" s="3" t="s">
        <v>64</v>
      </c>
      <c r="C12" s="3" t="s">
        <v>50</v>
      </c>
      <c r="D12" s="3" t="n">
        <v>0</v>
      </c>
      <c r="E12" s="3" t="n">
        <v>0</v>
      </c>
      <c r="F12" s="11" t="n">
        <v>0</v>
      </c>
      <c r="G12" s="11" t="n">
        <v>0</v>
      </c>
      <c r="H12" s="12" t="n">
        <f aca="false">D12-E12+Settings!$B$3*(F12-G12)</f>
        <v>0</v>
      </c>
      <c r="I12" s="3" t="n">
        <f aca="false">1+COUNTIFS($C$5:$C$120,$C12,$H$5:$H$120,"&gt;"&amp;$H12)</f>
        <v>8</v>
      </c>
    </row>
    <row r="13" customFormat="false" ht="15" hidden="false" customHeight="true" outlineLevel="0" collapsed="false">
      <c r="A13" s="3" t="s">
        <v>65</v>
      </c>
      <c r="B13" s="3" t="s">
        <v>66</v>
      </c>
      <c r="C13" s="3" t="s">
        <v>50</v>
      </c>
      <c r="D13" s="3" t="n">
        <v>0</v>
      </c>
      <c r="E13" s="3" t="n">
        <v>0</v>
      </c>
      <c r="F13" s="11" t="n">
        <v>0</v>
      </c>
      <c r="G13" s="11" t="n">
        <v>0</v>
      </c>
      <c r="H13" s="12" t="n">
        <f aca="false">D13-E13+Settings!$B$3*(F13-G13)</f>
        <v>0</v>
      </c>
      <c r="I13" s="3" t="n">
        <f aca="false">1+COUNTIFS($C$5:$C$120,$C13,$H$5:$H$120,"&gt;"&amp;$H13)</f>
        <v>8</v>
      </c>
    </row>
    <row r="14" customFormat="false" ht="15" hidden="false" customHeight="true" outlineLevel="0" collapsed="false">
      <c r="A14" s="3" t="s">
        <v>67</v>
      </c>
      <c r="B14" s="3" t="s">
        <v>68</v>
      </c>
      <c r="C14" s="3" t="s">
        <v>50</v>
      </c>
      <c r="D14" s="3" t="n">
        <v>0</v>
      </c>
      <c r="E14" s="3" t="n">
        <v>0</v>
      </c>
      <c r="F14" s="11" t="n">
        <v>0</v>
      </c>
      <c r="G14" s="11" t="n">
        <v>0</v>
      </c>
      <c r="H14" s="12" t="n">
        <f aca="false">D14-E14+Settings!$B$3*(F14-G14)</f>
        <v>0</v>
      </c>
      <c r="I14" s="3" t="n">
        <f aca="false">1+COUNTIFS($C$5:$C$120,$C14,$H$5:$H$120,"&gt;"&amp;$H14)</f>
        <v>8</v>
      </c>
    </row>
    <row r="15" customFormat="false" ht="15" hidden="false" customHeight="true" outlineLevel="0" collapsed="false">
      <c r="A15" s="3" t="s">
        <v>69</v>
      </c>
      <c r="B15" s="3" t="s">
        <v>70</v>
      </c>
      <c r="C15" s="3" t="s">
        <v>50</v>
      </c>
      <c r="D15" s="3" t="n">
        <v>0</v>
      </c>
      <c r="E15" s="3" t="n">
        <v>0</v>
      </c>
      <c r="F15" s="11" t="n">
        <v>0</v>
      </c>
      <c r="G15" s="11" t="n">
        <v>0</v>
      </c>
      <c r="H15" s="12" t="n">
        <f aca="false">D15-E15+Settings!$B$3*(F15-G15)</f>
        <v>0</v>
      </c>
      <c r="I15" s="3" t="n">
        <f aca="false">1+COUNTIFS($C$5:$C$120,$C15,$H$5:$H$120,"&gt;"&amp;$H15)</f>
        <v>8</v>
      </c>
    </row>
    <row r="16" customFormat="false" ht="15" hidden="false" customHeight="true" outlineLevel="0" collapsed="false">
      <c r="A16" s="3" t="s">
        <v>71</v>
      </c>
      <c r="B16" s="3" t="s">
        <v>72</v>
      </c>
      <c r="C16" s="3" t="s">
        <v>50</v>
      </c>
      <c r="D16" s="3" t="n">
        <v>0</v>
      </c>
      <c r="E16" s="3" t="n">
        <v>0</v>
      </c>
      <c r="F16" s="11" t="n">
        <v>0</v>
      </c>
      <c r="G16" s="11" t="n">
        <v>0</v>
      </c>
      <c r="H16" s="12" t="n">
        <f aca="false">D16-E16+Settings!$B$3*(F16-G16)</f>
        <v>0</v>
      </c>
      <c r="I16" s="3" t="n">
        <f aca="false">1+COUNTIFS($C$5:$C$120,$C16,$H$5:$H$120,"&gt;"&amp;$H16)</f>
        <v>8</v>
      </c>
    </row>
    <row r="17" customFormat="false" ht="15" hidden="false" customHeight="true" outlineLevel="0" collapsed="false">
      <c r="A17" s="3" t="s">
        <v>73</v>
      </c>
      <c r="B17" s="3" t="s">
        <v>74</v>
      </c>
      <c r="C17" s="3" t="s">
        <v>50</v>
      </c>
      <c r="D17" s="3" t="n">
        <v>0</v>
      </c>
      <c r="E17" s="3" t="n">
        <v>0</v>
      </c>
      <c r="F17" s="11" t="n">
        <v>0</v>
      </c>
      <c r="G17" s="11" t="n">
        <v>0</v>
      </c>
      <c r="H17" s="12" t="n">
        <f aca="false">D17-E17+Settings!$B$3*(F17-G17)</f>
        <v>0</v>
      </c>
      <c r="I17" s="3" t="n">
        <f aca="false">1+COUNTIFS($C$5:$C$120,$C17,$H$5:$H$120,"&gt;"&amp;$H17)</f>
        <v>8</v>
      </c>
    </row>
    <row r="18" customFormat="false" ht="15" hidden="false" customHeight="true" outlineLevel="0" collapsed="false">
      <c r="A18" s="3" t="s">
        <v>75</v>
      </c>
      <c r="B18" s="3" t="s">
        <v>76</v>
      </c>
      <c r="C18" s="3" t="s">
        <v>50</v>
      </c>
      <c r="D18" s="3" t="n">
        <v>0</v>
      </c>
      <c r="E18" s="3" t="n">
        <v>0</v>
      </c>
      <c r="F18" s="11" t="n">
        <v>0</v>
      </c>
      <c r="G18" s="11" t="n">
        <v>0</v>
      </c>
      <c r="H18" s="12" t="n">
        <f aca="false">D18-E18+Settings!$B$3*(F18-G18)</f>
        <v>0</v>
      </c>
      <c r="I18" s="3" t="n">
        <f aca="false">1+COUNTIFS($C$5:$C$120,$C18,$H$5:$H$120,"&gt;"&amp;$H18)</f>
        <v>8</v>
      </c>
    </row>
    <row r="19" customFormat="false" ht="15" hidden="false" customHeight="true" outlineLevel="0" collapsed="false">
      <c r="A19" s="3" t="s">
        <v>77</v>
      </c>
      <c r="B19" s="3" t="s">
        <v>78</v>
      </c>
      <c r="C19" s="3" t="s">
        <v>50</v>
      </c>
      <c r="D19" s="3" t="n">
        <v>0</v>
      </c>
      <c r="E19" s="3" t="n">
        <v>0</v>
      </c>
      <c r="F19" s="11" t="n">
        <v>0</v>
      </c>
      <c r="G19" s="11" t="n">
        <v>0</v>
      </c>
      <c r="H19" s="12" t="n">
        <f aca="false">D19-E19+Settings!$B$3*(F19-G19)</f>
        <v>0</v>
      </c>
      <c r="I19" s="3" t="n">
        <f aca="false">1+COUNTIFS($C$5:$C$120,$C19,$H$5:$H$120,"&gt;"&amp;$H19)</f>
        <v>8</v>
      </c>
    </row>
    <row r="20" customFormat="false" ht="15" hidden="false" customHeight="true" outlineLevel="0" collapsed="false">
      <c r="A20" s="3" t="s">
        <v>79</v>
      </c>
      <c r="B20" s="3" t="s">
        <v>80</v>
      </c>
      <c r="C20" s="3" t="s">
        <v>50</v>
      </c>
      <c r="D20" s="3" t="n">
        <v>0</v>
      </c>
      <c r="E20" s="3" t="n">
        <v>0</v>
      </c>
      <c r="F20" s="11" t="n">
        <v>0</v>
      </c>
      <c r="G20" s="11" t="n">
        <v>0</v>
      </c>
      <c r="H20" s="12" t="n">
        <f aca="false">D20-E20+Settings!$B$3*(F20-G20)</f>
        <v>0</v>
      </c>
      <c r="I20" s="3" t="n">
        <f aca="false">1+COUNTIFS($C$5:$C$120,$C20,$H$5:$H$120,"&gt;"&amp;$H20)</f>
        <v>8</v>
      </c>
    </row>
    <row r="21" customFormat="false" ht="15" hidden="false" customHeight="true" outlineLevel="0" collapsed="false">
      <c r="A21" s="3" t="s">
        <v>81</v>
      </c>
      <c r="B21" s="3" t="s">
        <v>82</v>
      </c>
      <c r="C21" s="3" t="s">
        <v>50</v>
      </c>
      <c r="D21" s="3" t="n">
        <v>0</v>
      </c>
      <c r="E21" s="3" t="n">
        <v>0</v>
      </c>
      <c r="F21" s="11" t="n">
        <v>0</v>
      </c>
      <c r="G21" s="11" t="n">
        <v>0</v>
      </c>
      <c r="H21" s="12" t="n">
        <f aca="false">D21-E21+Settings!$B$3*(F21-G21)</f>
        <v>0</v>
      </c>
      <c r="I21" s="3" t="n">
        <f aca="false">1+COUNTIFS($C$5:$C$120,$C21,$H$5:$H$120,"&gt;"&amp;$H21)</f>
        <v>8</v>
      </c>
    </row>
    <row r="22" customFormat="false" ht="15" hidden="false" customHeight="true" outlineLevel="0" collapsed="false">
      <c r="A22" s="3" t="s">
        <v>83</v>
      </c>
      <c r="B22" s="3" t="s">
        <v>84</v>
      </c>
      <c r="C22" s="3" t="s">
        <v>50</v>
      </c>
      <c r="D22" s="3" t="n">
        <v>0</v>
      </c>
      <c r="E22" s="3" t="n">
        <v>0</v>
      </c>
      <c r="F22" s="11" t="n">
        <v>0</v>
      </c>
      <c r="G22" s="11" t="n">
        <v>0</v>
      </c>
      <c r="H22" s="12" t="n">
        <f aca="false">D22-E22+Settings!$B$3*(F22-G22)</f>
        <v>0</v>
      </c>
      <c r="I22" s="3" t="n">
        <f aca="false">1+COUNTIFS($C$5:$C$120,$C22,$H$5:$H$120,"&gt;"&amp;$H22)</f>
        <v>8</v>
      </c>
    </row>
    <row r="23" customFormat="false" ht="15" hidden="false" customHeight="true" outlineLevel="0" collapsed="false">
      <c r="A23" s="3" t="s">
        <v>85</v>
      </c>
      <c r="B23" s="3" t="s">
        <v>86</v>
      </c>
      <c r="C23" s="3" t="s">
        <v>87</v>
      </c>
      <c r="D23" s="3" t="n">
        <f aca="false">COUNTIF(Edges!$D$23:$D$25,"agree")</f>
        <v>2</v>
      </c>
      <c r="E23" s="3" t="n">
        <f aca="false">COUNTIF(Edges!$D$23:$D$25,"disagree")</f>
        <v>1</v>
      </c>
      <c r="F23" s="11" t="n">
        <f aca="false">SUMIF(Edges!$D$23:$D$25,"agree",Edges!$K$23:$K$25)</f>
        <v>2</v>
      </c>
      <c r="G23" s="11" t="n">
        <f aca="false">SUMIF(Edges!$D$23:$D$25,"disagree",Edges!$K$23:$K$25)</f>
        <v>0.5</v>
      </c>
      <c r="H23" s="12" t="n">
        <f aca="false">D23-E23+Settings!$B$3*(F23-G23)</f>
        <v>2.05</v>
      </c>
      <c r="I23" s="3" t="n">
        <f aca="false">1+COUNTIFS($C$5:$C$120,$C23,$H$5:$H$120,"&gt;"&amp;$H23)</f>
        <v>1</v>
      </c>
    </row>
    <row r="24" customFormat="false" ht="15" hidden="false" customHeight="true" outlineLevel="0" collapsed="false">
      <c r="A24" s="3" t="s">
        <v>88</v>
      </c>
      <c r="B24" s="3" t="s">
        <v>89</v>
      </c>
      <c r="C24" s="3" t="s">
        <v>87</v>
      </c>
      <c r="D24" s="3" t="n">
        <f aca="false">COUNTIF(Edges!$D$26:$D$27,"agree")</f>
        <v>2</v>
      </c>
      <c r="E24" s="3" t="n">
        <f aca="false">COUNTIF(Edges!$D$26:$D$27,"disagree")</f>
        <v>0</v>
      </c>
      <c r="F24" s="11" t="n">
        <f aca="false">SUMIF(Edges!$D$26:$D$27,"agree",Edges!$K$26:$K$27)</f>
        <v>0</v>
      </c>
      <c r="G24" s="11" t="n">
        <f aca="false">SUMIF(Edges!$D$26:$D$27,"disagree",Edges!$K$26:$K$27)</f>
        <v>0</v>
      </c>
      <c r="H24" s="12" t="n">
        <f aca="false">D24-E24+Settings!$B$3*(F24-G24)</f>
        <v>2</v>
      </c>
      <c r="I24" s="3" t="n">
        <f aca="false">1+COUNTIFS($C$5:$C$120,$C24,$H$5:$H$120,"&gt;"&amp;$H24)</f>
        <v>2</v>
      </c>
    </row>
    <row r="25" customFormat="false" ht="15" hidden="false" customHeight="true" outlineLevel="0" collapsed="false">
      <c r="A25" s="3" t="s">
        <v>90</v>
      </c>
      <c r="B25" s="3" t="s">
        <v>91</v>
      </c>
      <c r="C25" s="3" t="s">
        <v>87</v>
      </c>
      <c r="D25" s="3" t="n">
        <f aca="false">COUNTIF(Edges!$D$28:$D$29,"agree")</f>
        <v>1</v>
      </c>
      <c r="E25" s="3" t="n">
        <f aca="false">COUNTIF(Edges!$D$28:$D$29,"disagree")</f>
        <v>1</v>
      </c>
      <c r="F25" s="11" t="n">
        <f aca="false">SUMIF(Edges!$D$28:$D$29,"agree",Edges!$K$28:$K$29)</f>
        <v>0</v>
      </c>
      <c r="G25" s="11" t="n">
        <f aca="false">SUMIF(Edges!$D$28:$D$29,"disagree",Edges!$K$28:$K$29)</f>
        <v>0</v>
      </c>
      <c r="H25" s="12" t="n">
        <f aca="false">D25-E25+Settings!$B$3*(F25-G25)</f>
        <v>0</v>
      </c>
      <c r="I25" s="3" t="n">
        <f aca="false">1+COUNTIFS($C$5:$C$120,$C25,$H$5:$H$120,"&gt;"&amp;$H25)</f>
        <v>4</v>
      </c>
    </row>
    <row r="26" customFormat="false" ht="15" hidden="false" customHeight="true" outlineLevel="0" collapsed="false">
      <c r="A26" s="3" t="s">
        <v>92</v>
      </c>
      <c r="B26" s="3" t="s">
        <v>93</v>
      </c>
      <c r="C26" s="3" t="s">
        <v>87</v>
      </c>
      <c r="D26" s="3" t="n">
        <f aca="false">COUNTIF(Edges!$D$30:$D$30,"agree")</f>
        <v>1</v>
      </c>
      <c r="E26" s="3" t="n">
        <f aca="false">COUNTIF(Edges!$D$30:$D$30,"disagree")</f>
        <v>0</v>
      </c>
      <c r="F26" s="11" t="n">
        <f aca="false">SUMIF(Edges!$D$30:$D$30,"agree",Edges!$K$30:$K$30)</f>
        <v>0</v>
      </c>
      <c r="G26" s="11" t="n">
        <f aca="false">SUMIF(Edges!$D$30:$D$30,"disagree",Edges!$K$30:$K$30)</f>
        <v>0</v>
      </c>
      <c r="H26" s="12" t="n">
        <f aca="false">D26-E26+Settings!$B$3*(F26-G26)</f>
        <v>1</v>
      </c>
      <c r="I26" s="3" t="n">
        <f aca="false">1+COUNTIFS($C$5:$C$120,$C26,$H$5:$H$120,"&gt;"&amp;$H26)</f>
        <v>3</v>
      </c>
    </row>
    <row r="27" customFormat="false" ht="15" hidden="false" customHeight="true" outlineLevel="0" collapsed="false">
      <c r="A27" s="3" t="s">
        <v>94</v>
      </c>
      <c r="B27" s="3" t="s">
        <v>95</v>
      </c>
      <c r="C27" s="3" t="s">
        <v>87</v>
      </c>
      <c r="D27" s="3" t="n">
        <v>0</v>
      </c>
      <c r="E27" s="3" t="n">
        <v>0</v>
      </c>
      <c r="F27" s="11" t="n">
        <v>0</v>
      </c>
      <c r="G27" s="11" t="n">
        <v>0</v>
      </c>
      <c r="H27" s="12" t="n">
        <f aca="false">D27-E27+Settings!$B$3*(F27-G27)</f>
        <v>0</v>
      </c>
      <c r="I27" s="3" t="n">
        <f aca="false">1+COUNTIFS($C$5:$C$120,$C27,$H$5:$H$120,"&gt;"&amp;$H27)</f>
        <v>4</v>
      </c>
    </row>
    <row r="28" customFormat="false" ht="15" hidden="false" customHeight="true" outlineLevel="0" collapsed="false">
      <c r="A28" s="3" t="s">
        <v>96</v>
      </c>
      <c r="B28" s="3" t="s">
        <v>97</v>
      </c>
      <c r="C28" s="3" t="s">
        <v>87</v>
      </c>
      <c r="D28" s="3" t="n">
        <v>0</v>
      </c>
      <c r="E28" s="3" t="n">
        <v>0</v>
      </c>
      <c r="F28" s="11" t="n">
        <v>0</v>
      </c>
      <c r="G28" s="11" t="n">
        <v>0</v>
      </c>
      <c r="H28" s="12" t="n">
        <f aca="false">D28-E28+Settings!$B$3*(F28-G28)</f>
        <v>0</v>
      </c>
      <c r="I28" s="3" t="n">
        <f aca="false">1+COUNTIFS($C$5:$C$120,$C28,$H$5:$H$120,"&gt;"&amp;$H28)</f>
        <v>4</v>
      </c>
    </row>
    <row r="29" customFormat="false" ht="15" hidden="false" customHeight="true" outlineLevel="0" collapsed="false">
      <c r="A29" s="3" t="s">
        <v>98</v>
      </c>
      <c r="B29" s="3" t="s">
        <v>99</v>
      </c>
      <c r="C29" s="3" t="s">
        <v>87</v>
      </c>
      <c r="D29" s="3" t="n">
        <v>0</v>
      </c>
      <c r="E29" s="3" t="n">
        <v>0</v>
      </c>
      <c r="F29" s="11" t="n">
        <v>0</v>
      </c>
      <c r="G29" s="11" t="n">
        <v>0</v>
      </c>
      <c r="H29" s="12" t="n">
        <f aca="false">D29-E29+Settings!$B$3*(F29-G29)</f>
        <v>0</v>
      </c>
      <c r="I29" s="3" t="n">
        <f aca="false">1+COUNTIFS($C$5:$C$120,$C29,$H$5:$H$120,"&gt;"&amp;$H29)</f>
        <v>4</v>
      </c>
    </row>
    <row r="30" customFormat="false" ht="15" hidden="false" customHeight="true" outlineLevel="0" collapsed="false">
      <c r="A30" s="3" t="s">
        <v>100</v>
      </c>
      <c r="B30" s="3" t="s">
        <v>101</v>
      </c>
      <c r="C30" s="3" t="s">
        <v>87</v>
      </c>
      <c r="D30" s="3" t="n">
        <v>0</v>
      </c>
      <c r="E30" s="3" t="n">
        <v>0</v>
      </c>
      <c r="F30" s="11" t="n">
        <v>0</v>
      </c>
      <c r="G30" s="11" t="n">
        <v>0</v>
      </c>
      <c r="H30" s="12" t="n">
        <f aca="false">D30-E30+Settings!$B$3*(F30-G30)</f>
        <v>0</v>
      </c>
      <c r="I30" s="3" t="n">
        <f aca="false">1+COUNTIFS($C$5:$C$120,$C30,$H$5:$H$120,"&gt;"&amp;$H30)</f>
        <v>4</v>
      </c>
    </row>
    <row r="31" customFormat="false" ht="15" hidden="false" customHeight="true" outlineLevel="0" collapsed="false">
      <c r="A31" s="3" t="s">
        <v>102</v>
      </c>
      <c r="B31" s="3" t="s">
        <v>103</v>
      </c>
      <c r="C31" s="3" t="s">
        <v>87</v>
      </c>
      <c r="D31" s="3" t="n">
        <v>0</v>
      </c>
      <c r="E31" s="3" t="n">
        <v>0</v>
      </c>
      <c r="F31" s="11" t="n">
        <v>0</v>
      </c>
      <c r="G31" s="11" t="n">
        <v>0</v>
      </c>
      <c r="H31" s="12" t="n">
        <f aca="false">D31-E31+Settings!$B$3*(F31-G31)</f>
        <v>0</v>
      </c>
      <c r="I31" s="3" t="n">
        <f aca="false">1+COUNTIFS($C$5:$C$120,$C31,$H$5:$H$120,"&gt;"&amp;$H31)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44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44"/>
    <col collapsed="false" customWidth="true" hidden="false" outlineLevel="0" max="11" min="7" style="1" width="12"/>
  </cols>
  <sheetData>
    <row r="1" customFormat="false" ht="15" hidden="false" customHeight="true" outlineLevel="0" collapsed="false">
      <c r="A1" s="9" t="s">
        <v>104</v>
      </c>
    </row>
    <row r="2" customFormat="false" ht="15" hidden="false" customHeight="true" outlineLevel="0" collapsed="false">
      <c r="A2" s="7" t="s">
        <v>105</v>
      </c>
    </row>
    <row r="4" customFormat="false" ht="15" hidden="false" customHeight="true" outlineLevel="0" collapsed="false">
      <c r="A4" s="10" t="s">
        <v>106</v>
      </c>
      <c r="B4" s="10" t="s">
        <v>107</v>
      </c>
      <c r="C4" s="10" t="s">
        <v>108</v>
      </c>
      <c r="D4" s="10" t="s">
        <v>109</v>
      </c>
      <c r="E4" s="10" t="s">
        <v>110</v>
      </c>
      <c r="F4" s="10" t="s">
        <v>111</v>
      </c>
      <c r="G4" s="10" t="s">
        <v>112</v>
      </c>
      <c r="H4" s="10" t="s">
        <v>113</v>
      </c>
      <c r="I4" s="10" t="s">
        <v>114</v>
      </c>
      <c r="J4" s="10" t="s">
        <v>115</v>
      </c>
      <c r="K4" s="10" t="s">
        <v>116</v>
      </c>
    </row>
    <row r="5" customFormat="false" ht="15" hidden="false" customHeight="true" outlineLevel="0" collapsed="false">
      <c r="A5" s="3" t="s">
        <v>117</v>
      </c>
      <c r="B5" s="3" t="s">
        <v>48</v>
      </c>
      <c r="C5" s="7" t="str">
        <f aca="false">IFERROR(INDEX(Nodes!$B$5:$B$120,MATCH($B5,Nodes!$A$5:$A$120,0)),"")</f>
        <v>Mormons should not be afraid of investigating the truth about their religion.</v>
      </c>
      <c r="D5" s="13" t="s">
        <v>118</v>
      </c>
      <c r="E5" s="3" t="s">
        <v>51</v>
      </c>
      <c r="F5" s="7" t="str">
        <f aca="false">IFERROR(INDEX(Nodes!$B$5:$B$120,MATCH($E5,Nodes!$A$5:$A$120,0)),"")</f>
        <v>Many LDS church leaders have encouraged the complete and utter loyalty to the Truth.</v>
      </c>
      <c r="G5" s="14" t="n">
        <v>0</v>
      </c>
      <c r="H5" s="14" t="n">
        <v>0</v>
      </c>
      <c r="I5" s="11" t="n">
        <f aca="false">IF($G5+$H5=0,1,($G5-$H5)/($G5+$H5))</f>
        <v>1</v>
      </c>
      <c r="J5" s="15" t="n">
        <f aca="false">Nodes!$H$6</f>
        <v>5.57</v>
      </c>
      <c r="K5" s="12" t="n">
        <f aca="false">$J5*$I5</f>
        <v>5.57</v>
      </c>
    </row>
    <row r="6" customFormat="false" ht="15" hidden="false" customHeight="true" outlineLevel="0" collapsed="false">
      <c r="A6" s="3" t="s">
        <v>119</v>
      </c>
      <c r="B6" s="3" t="s">
        <v>48</v>
      </c>
      <c r="C6" s="7" t="str">
        <f aca="false">IFERROR(INDEX(Nodes!$B$5:$B$120,MATCH($B6,Nodes!$A$5:$A$120,0)),"")</f>
        <v>Mormons should not be afraid of investigating the truth about their religion.</v>
      </c>
      <c r="D6" s="13" t="s">
        <v>118</v>
      </c>
      <c r="E6" s="3" t="s">
        <v>57</v>
      </c>
      <c r="F6" s="7" t="str">
        <f aca="false">IFERROR(INDEX(Nodes!$B$5:$B$120,MATCH($E6,Nodes!$A$5:$A$120,0)),"")</f>
        <v>LDS doctrine teaches that you cannot be saved in ignorance.</v>
      </c>
      <c r="G6" s="14" t="n">
        <v>0</v>
      </c>
      <c r="H6" s="14" t="n">
        <v>0</v>
      </c>
      <c r="I6" s="11" t="n">
        <f aca="false">IF($G6+$H6=0,1,($G6-$H6)/($G6+$H6))</f>
        <v>1</v>
      </c>
      <c r="J6" s="15" t="n">
        <f aca="false">Nodes!$H$9</f>
        <v>2</v>
      </c>
      <c r="K6" s="12" t="n">
        <f aca="false">$J6*$I6</f>
        <v>2</v>
      </c>
    </row>
    <row r="7" customFormat="false" ht="15" hidden="false" customHeight="true" outlineLevel="0" collapsed="false">
      <c r="A7" s="3" t="s">
        <v>120</v>
      </c>
      <c r="B7" s="3" t="s">
        <v>48</v>
      </c>
      <c r="C7" s="7" t="str">
        <f aca="false">IFERROR(INDEX(Nodes!$B$5:$B$120,MATCH($B7,Nodes!$A$5:$A$120,0)),"")</f>
        <v>Mormons should not be afraid of investigating the truth about their religion.</v>
      </c>
      <c r="D7" s="13" t="s">
        <v>118</v>
      </c>
      <c r="E7" s="3" t="s">
        <v>59</v>
      </c>
      <c r="F7" s="7" t="str">
        <f aca="false">IFERROR(INDEX(Nodes!$B$5:$B$120,MATCH($E7,Nodes!$A$5:$A$120,0)),"")</f>
        <v>If you cannot be saved in ignorance, you will eventually learn about all the Church's warts.</v>
      </c>
      <c r="G7" s="14" t="n">
        <v>0</v>
      </c>
      <c r="H7" s="14" t="n">
        <v>0</v>
      </c>
      <c r="I7" s="11" t="n">
        <f aca="false">IF($G7+$H7=0,1,($G7-$H7)/($G7+$H7))</f>
        <v>1</v>
      </c>
      <c r="J7" s="15" t="n">
        <f aca="false">Nodes!$H$10</f>
        <v>1</v>
      </c>
      <c r="K7" s="12" t="n">
        <f aca="false">$J7*$I7</f>
        <v>1</v>
      </c>
    </row>
    <row r="8" customFormat="false" ht="15" hidden="false" customHeight="true" outlineLevel="0" collapsed="false">
      <c r="A8" s="3" t="s">
        <v>121</v>
      </c>
      <c r="B8" s="3" t="s">
        <v>48</v>
      </c>
      <c r="C8" s="7" t="str">
        <f aca="false">IFERROR(INDEX(Nodes!$B$5:$B$120,MATCH($B8,Nodes!$A$5:$A$120,0)),"")</f>
        <v>Mormons should not be afraid of investigating the truth about their religion.</v>
      </c>
      <c r="D8" s="13" t="s">
        <v>118</v>
      </c>
      <c r="E8" s="3" t="s">
        <v>61</v>
      </c>
      <c r="F8" s="7" t="str">
        <f aca="false">IFERROR(INDEX(Nodes!$B$5:$B$120,MATCH($E8,Nodes!$A$5:$A$120,0)),"")</f>
        <v>Even if the Mormon Church is true, its leaders should not use half truths to keep people in it.</v>
      </c>
      <c r="G8" s="14" t="n">
        <v>0</v>
      </c>
      <c r="H8" s="14" t="n">
        <v>0</v>
      </c>
      <c r="I8" s="11" t="n">
        <f aca="false">IF($G8+$H8=0,1,($G8-$H8)/($G8+$H8))</f>
        <v>1</v>
      </c>
      <c r="J8" s="15" t="n">
        <f aca="false">Nodes!$H$11</f>
        <v>1</v>
      </c>
      <c r="K8" s="12" t="n">
        <f aca="false">$J8*$I8</f>
        <v>1</v>
      </c>
    </row>
    <row r="9" customFormat="false" ht="15" hidden="false" customHeight="true" outlineLevel="0" collapsed="false">
      <c r="A9" s="3" t="s">
        <v>122</v>
      </c>
      <c r="B9" s="3" t="s">
        <v>51</v>
      </c>
      <c r="C9" s="7" t="str">
        <f aca="false">IFERROR(INDEX(Nodes!$B$5:$B$120,MATCH($B9,Nodes!$A$5:$A$120,0)),"")</f>
        <v>Many LDS church leaders have encouraged the complete and utter loyalty to the Truth.</v>
      </c>
      <c r="D9" s="13" t="s">
        <v>118</v>
      </c>
      <c r="E9" s="3" t="s">
        <v>53</v>
      </c>
      <c r="F9" s="7" t="str">
        <f aca="false">IFERROR(INDEX(Nodes!$B$5:$B$120,MATCH($E9,Nodes!$A$5:$A$120,0)),"")</f>
        <v>President J. Reuben Clark was right: if we have the truth, it cannot be harmed by investigation.</v>
      </c>
      <c r="G9" s="14" t="n">
        <v>0</v>
      </c>
      <c r="H9" s="14" t="n">
        <v>0</v>
      </c>
      <c r="I9" s="11" t="n">
        <f aca="false">IF($G9+$H9=0,1,($G9-$H9)/($G9+$H9))</f>
        <v>1</v>
      </c>
      <c r="J9" s="15" t="n">
        <f aca="false">Nodes!$H$7</f>
        <v>5.1</v>
      </c>
      <c r="K9" s="12" t="n">
        <f aca="false">$J9*$I9</f>
        <v>5.1</v>
      </c>
    </row>
    <row r="10" customFormat="false" ht="15" hidden="false" customHeight="true" outlineLevel="0" collapsed="false">
      <c r="A10" s="3" t="s">
        <v>123</v>
      </c>
      <c r="B10" s="3" t="s">
        <v>51</v>
      </c>
      <c r="C10" s="7" t="str">
        <f aca="false">IFERROR(INDEX(Nodes!$B$5:$B$120,MATCH($B10,Nodes!$A$5:$A$120,0)),"")</f>
        <v>Many LDS church leaders have encouraged the complete and utter loyalty to the Truth.</v>
      </c>
      <c r="D10" s="13" t="s">
        <v>118</v>
      </c>
      <c r="E10" s="3" t="s">
        <v>63</v>
      </c>
      <c r="F10" s="7" t="str">
        <f aca="false">IFERROR(INDEX(Nodes!$B$5:$B$120,MATCH($E10,Nodes!$A$5:$A$120,0)),"")</f>
        <v>The whole narrative of Joseph Smith starting the Church is that he asked of God (James 1:5).</v>
      </c>
      <c r="G10" s="14" t="n">
        <v>0</v>
      </c>
      <c r="H10" s="14" t="n">
        <v>0</v>
      </c>
      <c r="I10" s="11" t="n">
        <f aca="false">IF($G10+$H10=0,1,($G10-$H10)/($G10+$H10))</f>
        <v>1</v>
      </c>
      <c r="J10" s="15" t="n">
        <f aca="false">Nodes!$H$12</f>
        <v>0</v>
      </c>
      <c r="K10" s="12" t="n">
        <f aca="false">$J10*$I10</f>
        <v>0</v>
      </c>
    </row>
    <row r="11" customFormat="false" ht="15" hidden="false" customHeight="true" outlineLevel="0" collapsed="false">
      <c r="A11" s="3" t="s">
        <v>124</v>
      </c>
      <c r="B11" s="3" t="s">
        <v>57</v>
      </c>
      <c r="C11" s="7" t="str">
        <f aca="false">IFERROR(INDEX(Nodes!$B$5:$B$120,MATCH($B11,Nodes!$A$5:$A$120,0)),"")</f>
        <v>LDS doctrine teaches that you cannot be saved in ignorance.</v>
      </c>
      <c r="D11" s="13" t="s">
        <v>118</v>
      </c>
      <c r="E11" s="3" t="s">
        <v>65</v>
      </c>
      <c r="F11" s="7" t="str">
        <f aca="false">IFERROR(INDEX(Nodes!$B$5:$B$120,MATCH($E11,Nodes!$A$5:$A$120,0)),"")</f>
        <v>D&amp;C 131:6: It is impossible for a man to be saved in ignorance.</v>
      </c>
      <c r="G11" s="14" t="n">
        <v>0</v>
      </c>
      <c r="H11" s="14" t="n">
        <v>0</v>
      </c>
      <c r="I11" s="11" t="n">
        <f aca="false">IF($G11+$H11=0,1,($G11-$H11)/($G11+$H11))</f>
        <v>1</v>
      </c>
      <c r="J11" s="15" t="n">
        <f aca="false">Nodes!$H$13</f>
        <v>0</v>
      </c>
      <c r="K11" s="12" t="n">
        <f aca="false">$J11*$I11</f>
        <v>0</v>
      </c>
    </row>
    <row r="12" customFormat="false" ht="15" hidden="false" customHeight="true" outlineLevel="0" collapsed="false">
      <c r="A12" s="3" t="s">
        <v>125</v>
      </c>
      <c r="B12" s="3" t="s">
        <v>57</v>
      </c>
      <c r="C12" s="7" t="str">
        <f aca="false">IFERROR(INDEX(Nodes!$B$5:$B$120,MATCH($B12,Nodes!$A$5:$A$120,0)),"")</f>
        <v>LDS doctrine teaches that you cannot be saved in ignorance.</v>
      </c>
      <c r="D12" s="13" t="s">
        <v>118</v>
      </c>
      <c r="E12" s="3" t="s">
        <v>67</v>
      </c>
      <c r="F12" s="7" t="str">
        <f aca="false">IFERROR(INDEX(Nodes!$B$5:$B$120,MATCH($E12,Nodes!$A$5:$A$120,0)),"")</f>
        <v>D&amp;C 137:7: All who have died without a knowledge of this gospel... shall be heirs.</v>
      </c>
      <c r="G12" s="14" t="n">
        <v>0</v>
      </c>
      <c r="H12" s="14" t="n">
        <v>0</v>
      </c>
      <c r="I12" s="11" t="n">
        <f aca="false">IF($G12+$H12=0,1,($G12-$H12)/($G12+$H12))</f>
        <v>1</v>
      </c>
      <c r="J12" s="15" t="n">
        <f aca="false">Nodes!$H$14</f>
        <v>0</v>
      </c>
      <c r="K12" s="12" t="n">
        <f aca="false">$J12*$I12</f>
        <v>0</v>
      </c>
    </row>
    <row r="13" customFormat="false" ht="15" hidden="false" customHeight="true" outlineLevel="0" collapsed="false">
      <c r="A13" s="3" t="s">
        <v>126</v>
      </c>
      <c r="B13" s="3" t="s">
        <v>59</v>
      </c>
      <c r="C13" s="7" t="str">
        <f aca="false">IFERROR(INDEX(Nodes!$B$5:$B$120,MATCH($B13,Nodes!$A$5:$A$120,0)),"")</f>
        <v>If you cannot be saved in ignorance, you will eventually learn about all the Church's warts.</v>
      </c>
      <c r="D13" s="13" t="s">
        <v>118</v>
      </c>
      <c r="E13" s="3" t="s">
        <v>69</v>
      </c>
      <c r="F13" s="7" t="str">
        <f aca="false">IFERROR(INDEX(Nodes!$B$5:$B$120,MATCH($E13,Nodes!$A$5:$A$120,0)),"")</f>
        <v>What information you expose yourself to determines what you learn eventually.</v>
      </c>
      <c r="G13" s="14" t="n">
        <v>0</v>
      </c>
      <c r="H13" s="14" t="n">
        <v>0</v>
      </c>
      <c r="I13" s="11" t="n">
        <f aca="false">IF($G13+$H13=0,1,($G13-$H13)/($G13+$H13))</f>
        <v>1</v>
      </c>
      <c r="J13" s="15" t="n">
        <f aca="false">Nodes!$H$15</f>
        <v>0</v>
      </c>
      <c r="K13" s="12" t="n">
        <f aca="false">$J13*$I13</f>
        <v>0</v>
      </c>
    </row>
    <row r="14" customFormat="false" ht="15" hidden="false" customHeight="true" outlineLevel="0" collapsed="false">
      <c r="A14" s="3" t="s">
        <v>127</v>
      </c>
      <c r="B14" s="3" t="s">
        <v>61</v>
      </c>
      <c r="C14" s="7" t="str">
        <f aca="false">IFERROR(INDEX(Nodes!$B$5:$B$120,MATCH($B14,Nodes!$A$5:$A$120,0)),"")</f>
        <v>Even if the Mormon Church is true, its leaders should not use half truths to keep people in it.</v>
      </c>
      <c r="D14" s="13" t="s">
        <v>118</v>
      </c>
      <c r="E14" s="3" t="s">
        <v>71</v>
      </c>
      <c r="F14" s="7" t="str">
        <f aca="false">IFERROR(INDEX(Nodes!$B$5:$B$120,MATCH($E14,Nodes!$A$5:$A$120,0)),"")</f>
        <v>Telling half truths or hiding the whole truth serves an agenda other than truth.</v>
      </c>
      <c r="G14" s="14" t="n">
        <v>0</v>
      </c>
      <c r="H14" s="14" t="n">
        <v>0</v>
      </c>
      <c r="I14" s="11" t="n">
        <f aca="false">IF($G14+$H14=0,1,($G14-$H14)/($G14+$H14))</f>
        <v>1</v>
      </c>
      <c r="J14" s="15" t="n">
        <f aca="false">Nodes!$H$16</f>
        <v>0</v>
      </c>
      <c r="K14" s="12" t="n">
        <f aca="false">$J14*$I14</f>
        <v>0</v>
      </c>
    </row>
    <row r="15" customFormat="false" ht="15" hidden="false" customHeight="true" outlineLevel="0" collapsed="false">
      <c r="A15" s="3" t="s">
        <v>128</v>
      </c>
      <c r="B15" s="3" t="s">
        <v>53</v>
      </c>
      <c r="C15" s="7" t="str">
        <f aca="false">IFERROR(INDEX(Nodes!$B$5:$B$120,MATCH($B15,Nodes!$A$5:$A$120,0)),"")</f>
        <v>President J. Reuben Clark was right: if we have the truth, it cannot be harmed by investigation.</v>
      </c>
      <c r="D15" s="13" t="s">
        <v>118</v>
      </c>
      <c r="E15" s="3" t="s">
        <v>55</v>
      </c>
      <c r="F15" s="7" t="str">
        <f aca="false">IFERROR(INDEX(Nodes!$B$5:$B$120,MATCH($E15,Nodes!$A$5:$A$120,0)),"")</f>
        <v>God is truth and knowledge; hiding truth to keep people in a religion is the opposite of God.</v>
      </c>
      <c r="G15" s="14" t="n">
        <v>0</v>
      </c>
      <c r="H15" s="14" t="n">
        <v>0</v>
      </c>
      <c r="I15" s="11" t="n">
        <f aca="false">IF($G15+$H15=0,1,($G15-$H15)/($G15+$H15))</f>
        <v>1</v>
      </c>
      <c r="J15" s="15" t="n">
        <f aca="false">Nodes!$H$8</f>
        <v>1</v>
      </c>
      <c r="K15" s="12" t="n">
        <f aca="false">$J15*$I15</f>
        <v>1</v>
      </c>
    </row>
    <row r="16" customFormat="false" ht="15" hidden="false" customHeight="true" outlineLevel="0" collapsed="false">
      <c r="A16" s="3" t="s">
        <v>129</v>
      </c>
      <c r="B16" s="3" t="s">
        <v>53</v>
      </c>
      <c r="C16" s="7" t="str">
        <f aca="false">IFERROR(INDEX(Nodes!$B$5:$B$120,MATCH($B16,Nodes!$A$5:$A$120,0)),"")</f>
        <v>President J. Reuben Clark was right: if we have the truth, it cannot be harmed by investigation.</v>
      </c>
      <c r="D16" s="13" t="s">
        <v>118</v>
      </c>
      <c r="E16" s="3" t="s">
        <v>57</v>
      </c>
      <c r="F16" s="7" t="str">
        <f aca="false">IFERROR(INDEX(Nodes!$B$5:$B$120,MATCH($E16,Nodes!$A$5:$A$120,0)),"")</f>
        <v>LDS doctrine teaches that you cannot be saved in ignorance.</v>
      </c>
      <c r="G16" s="14" t="n">
        <v>0</v>
      </c>
      <c r="H16" s="14" t="n">
        <v>0</v>
      </c>
      <c r="I16" s="11" t="n">
        <f aca="false">IF($G16+$H16=0,1,($G16-$H16)/($G16+$H16))</f>
        <v>1</v>
      </c>
      <c r="J16" s="15" t="n">
        <f aca="false">Nodes!$H$9</f>
        <v>2</v>
      </c>
      <c r="K16" s="12" t="n">
        <f aca="false">$J16*$I16</f>
        <v>2</v>
      </c>
    </row>
    <row r="17" customFormat="false" ht="15" hidden="false" customHeight="true" outlineLevel="0" collapsed="false">
      <c r="A17" s="3" t="s">
        <v>130</v>
      </c>
      <c r="B17" s="3" t="s">
        <v>53</v>
      </c>
      <c r="C17" s="7" t="str">
        <f aca="false">IFERROR(INDEX(Nodes!$B$5:$B$120,MATCH($B17,Nodes!$A$5:$A$120,0)),"")</f>
        <v>President J. Reuben Clark was right: if we have the truth, it cannot be harmed by investigation.</v>
      </c>
      <c r="D17" s="13" t="s">
        <v>118</v>
      </c>
      <c r="E17" s="3" t="s">
        <v>73</v>
      </c>
      <c r="F17" s="7" t="str">
        <f aca="false">IFERROR(INDEX(Nodes!$B$5:$B$120,MATCH($E17,Nodes!$A$5:$A$120,0)),"")</f>
        <v>Truth is always helped by honest, logical, transparent investigation.</v>
      </c>
      <c r="G17" s="14" t="n">
        <v>0</v>
      </c>
      <c r="H17" s="14" t="n">
        <v>0</v>
      </c>
      <c r="I17" s="11" t="n">
        <f aca="false">IF($G17+$H17=0,1,($G17-$H17)/($G17+$H17))</f>
        <v>1</v>
      </c>
      <c r="J17" s="15" t="n">
        <f aca="false">Nodes!$H$17</f>
        <v>0</v>
      </c>
      <c r="K17" s="12" t="n">
        <f aca="false">$J17*$I17</f>
        <v>0</v>
      </c>
    </row>
    <row r="18" customFormat="false" ht="15" hidden="false" customHeight="true" outlineLevel="0" collapsed="false">
      <c r="A18" s="3" t="s">
        <v>131</v>
      </c>
      <c r="B18" s="3" t="s">
        <v>53</v>
      </c>
      <c r="C18" s="7" t="str">
        <f aca="false">IFERROR(INDEX(Nodes!$B$5:$B$120,MATCH($B18,Nodes!$A$5:$A$120,0)),"")</f>
        <v>President J. Reuben Clark was right: if we have the truth, it cannot be harmed by investigation.</v>
      </c>
      <c r="D18" s="13" t="s">
        <v>118</v>
      </c>
      <c r="E18" s="3" t="s">
        <v>75</v>
      </c>
      <c r="F18" s="7" t="str">
        <f aca="false">IFERROR(INDEX(Nodes!$B$5:$B$120,MATCH($E18,Nodes!$A$5:$A$120,0)),"")</f>
        <v>Even if the Mormon Church is true, they shouldn't lie to keep people in it.</v>
      </c>
      <c r="G18" s="14" t="n">
        <v>0</v>
      </c>
      <c r="H18" s="14" t="n">
        <v>0</v>
      </c>
      <c r="I18" s="11" t="n">
        <f aca="false">IF($G18+$H18=0,1,($G18-$H18)/($G18+$H18))</f>
        <v>1</v>
      </c>
      <c r="J18" s="15" t="n">
        <f aca="false">Nodes!$H$18</f>
        <v>0</v>
      </c>
      <c r="K18" s="12" t="n">
        <f aca="false">$J18*$I18</f>
        <v>0</v>
      </c>
    </row>
    <row r="19" customFormat="false" ht="15" hidden="false" customHeight="true" outlineLevel="0" collapsed="false">
      <c r="A19" s="3" t="s">
        <v>132</v>
      </c>
      <c r="B19" s="3" t="s">
        <v>53</v>
      </c>
      <c r="C19" s="7" t="str">
        <f aca="false">IFERROR(INDEX(Nodes!$B$5:$B$120,MATCH($B19,Nodes!$A$5:$A$120,0)),"")</f>
        <v>President J. Reuben Clark was right: if we have the truth, it cannot be harmed by investigation.</v>
      </c>
      <c r="D19" s="16" t="s">
        <v>133</v>
      </c>
      <c r="E19" s="3" t="s">
        <v>77</v>
      </c>
      <c r="F19" s="7" t="str">
        <f aca="false">IFERROR(INDEX(Nodes!$B$5:$B$120,MATCH($E19,Nodes!$A$5:$A$120,0)),"")</f>
        <v>If God wants everyone to be Mormon, it is more important to tell faith-promoting stories.</v>
      </c>
      <c r="G19" s="14" t="n">
        <v>0</v>
      </c>
      <c r="H19" s="14" t="n">
        <v>0</v>
      </c>
      <c r="I19" s="11" t="n">
        <f aca="false">IF($G19+$H19=0,1,($G19-$H19)/($G19+$H19))</f>
        <v>1</v>
      </c>
      <c r="J19" s="15" t="n">
        <f aca="false">Nodes!$H$19</f>
        <v>0</v>
      </c>
      <c r="K19" s="12" t="n">
        <f aca="false">$J19*$I19</f>
        <v>0</v>
      </c>
    </row>
    <row r="20" customFormat="false" ht="15" hidden="false" customHeight="true" outlineLevel="0" collapsed="false">
      <c r="A20" s="3" t="s">
        <v>134</v>
      </c>
      <c r="B20" s="3" t="s">
        <v>55</v>
      </c>
      <c r="C20" s="7" t="str">
        <f aca="false">IFERROR(INDEX(Nodes!$B$5:$B$120,MATCH($B20,Nodes!$A$5:$A$120,0)),"")</f>
        <v>God is truth and knowledge; hiding truth to keep people in a religion is the opposite of God.</v>
      </c>
      <c r="D20" s="13" t="s">
        <v>118</v>
      </c>
      <c r="E20" s="3" t="s">
        <v>79</v>
      </c>
      <c r="F20" s="7" t="str">
        <f aca="false">IFERROR(INDEX(Nodes!$B$5:$B$120,MATCH($E20,Nodes!$A$5:$A$120,0)),"")</f>
        <v>The 10 commandments tell us not to bear false witness.</v>
      </c>
      <c r="G20" s="14" t="n">
        <v>0</v>
      </c>
      <c r="H20" s="14" t="n">
        <v>0</v>
      </c>
      <c r="I20" s="11" t="n">
        <f aca="false">IF($G20+$H20=0,1,($G20-$H20)/($G20+$H20))</f>
        <v>1</v>
      </c>
      <c r="J20" s="15" t="n">
        <f aca="false">Nodes!$H$20</f>
        <v>0</v>
      </c>
      <c r="K20" s="12" t="n">
        <f aca="false">$J20*$I20</f>
        <v>0</v>
      </c>
    </row>
    <row r="21" customFormat="false" ht="15" hidden="false" customHeight="true" outlineLevel="0" collapsed="false">
      <c r="A21" s="3" t="s">
        <v>135</v>
      </c>
      <c r="B21" s="3" t="s">
        <v>55</v>
      </c>
      <c r="C21" s="7" t="str">
        <f aca="false">IFERROR(INDEX(Nodes!$B$5:$B$120,MATCH($B21,Nodes!$A$5:$A$120,0)),"")</f>
        <v>God is truth and knowledge; hiding truth to keep people in a religion is the opposite of God.</v>
      </c>
      <c r="D21" s="13" t="s">
        <v>118</v>
      </c>
      <c r="E21" s="3" t="s">
        <v>81</v>
      </c>
      <c r="F21" s="7" t="str">
        <f aca="false">IFERROR(INDEX(Nodes!$B$5:$B$120,MATCH($E21,Nodes!$A$5:$A$120,0)),"")</f>
        <v>Mormons are told not to lie, or do anything like unto it.</v>
      </c>
      <c r="G21" s="14" t="n">
        <v>0</v>
      </c>
      <c r="H21" s="14" t="n">
        <v>0</v>
      </c>
      <c r="I21" s="11" t="n">
        <f aca="false">IF($G21+$H21=0,1,($G21-$H21)/($G21+$H21))</f>
        <v>1</v>
      </c>
      <c r="J21" s="15" t="n">
        <f aca="false">Nodes!$H$21</f>
        <v>0</v>
      </c>
      <c r="K21" s="12" t="n">
        <f aca="false">$J21*$I21</f>
        <v>0</v>
      </c>
    </row>
    <row r="22" customFormat="false" ht="15" hidden="false" customHeight="true" outlineLevel="0" collapsed="false">
      <c r="A22" s="3" t="s">
        <v>136</v>
      </c>
      <c r="B22" s="3" t="s">
        <v>55</v>
      </c>
      <c r="C22" s="7" t="str">
        <f aca="false">IFERROR(INDEX(Nodes!$B$5:$B$120,MATCH($B22,Nodes!$A$5:$A$120,0)),"")</f>
        <v>God is truth and knowledge; hiding truth to keep people in a religion is the opposite of God.</v>
      </c>
      <c r="D22" s="16" t="s">
        <v>133</v>
      </c>
      <c r="E22" s="3" t="s">
        <v>83</v>
      </c>
      <c r="F22" s="7" t="str">
        <f aca="false">IFERROR(INDEX(Nodes!$B$5:$B$120,MATCH($E22,Nodes!$A$5:$A$120,0)),"")</f>
        <v>Jesus said people should be given milk before meat.</v>
      </c>
      <c r="G22" s="14" t="n">
        <v>0</v>
      </c>
      <c r="H22" s="14" t="n">
        <v>0</v>
      </c>
      <c r="I22" s="11" t="n">
        <f aca="false">IF($G22+$H22=0,1,($G22-$H22)/($G22+$H22))</f>
        <v>1</v>
      </c>
      <c r="J22" s="15" t="n">
        <f aca="false">Nodes!$H$22</f>
        <v>0</v>
      </c>
      <c r="K22" s="12" t="n">
        <f aca="false">$J22*$I22</f>
        <v>0</v>
      </c>
    </row>
    <row r="23" customFormat="false" ht="15" hidden="false" customHeight="true" outlineLevel="0" collapsed="false">
      <c r="A23" s="3" t="s">
        <v>137</v>
      </c>
      <c r="B23" s="3" t="s">
        <v>85</v>
      </c>
      <c r="C23" s="7" t="str">
        <f aca="false">IFERROR(INDEX(Nodes!$B$5:$B$120,MATCH($B23,Nodes!$A$5:$A$120,0)),"")</f>
        <v>Our city should plant more street trees.</v>
      </c>
      <c r="D23" s="13" t="s">
        <v>118</v>
      </c>
      <c r="E23" s="3" t="s">
        <v>88</v>
      </c>
      <c r="F23" s="7" t="str">
        <f aca="false">IFERROR(INDEX(Nodes!$B$5:$B$120,MATCH($E23,Nodes!$A$5:$A$120,0)),"")</f>
        <v>Street trees measurably cool neighborhoods in summer.</v>
      </c>
      <c r="G23" s="14" t="n">
        <v>4</v>
      </c>
      <c r="H23" s="14" t="n">
        <v>0</v>
      </c>
      <c r="I23" s="11" t="n">
        <f aca="false">IF($G23+$H23=0,1,($G23-$H23)/($G23+$H23))</f>
        <v>1</v>
      </c>
      <c r="J23" s="15" t="n">
        <f aca="false">Nodes!$H$24</f>
        <v>2</v>
      </c>
      <c r="K23" s="12" t="n">
        <f aca="false">$J23*$I23</f>
        <v>2</v>
      </c>
    </row>
    <row r="24" customFormat="false" ht="15" hidden="false" customHeight="true" outlineLevel="0" collapsed="false">
      <c r="A24" s="3" t="s">
        <v>138</v>
      </c>
      <c r="B24" s="3" t="s">
        <v>85</v>
      </c>
      <c r="C24" s="7" t="str">
        <f aca="false">IFERROR(INDEX(Nodes!$B$5:$B$120,MATCH($B24,Nodes!$A$5:$A$120,0)),"")</f>
        <v>Our city should plant more street trees.</v>
      </c>
      <c r="D24" s="13" t="s">
        <v>118</v>
      </c>
      <c r="E24" s="3" t="s">
        <v>90</v>
      </c>
      <c r="F24" s="7" t="str">
        <f aca="false">IFERROR(INDEX(Nodes!$B$5:$B$120,MATCH($E24,Nodes!$A$5:$A$120,0)),"")</f>
        <v>Street trees increase nearby property values.</v>
      </c>
      <c r="G24" s="14" t="n">
        <v>3</v>
      </c>
      <c r="H24" s="14" t="n">
        <v>1</v>
      </c>
      <c r="I24" s="11" t="n">
        <f aca="false">IF($G24+$H24=0,1,($G24-$H24)/($G24+$H24))</f>
        <v>0.5</v>
      </c>
      <c r="J24" s="15" t="n">
        <f aca="false">Nodes!$H$25</f>
        <v>0</v>
      </c>
      <c r="K24" s="12" t="n">
        <f aca="false">$J24*$I24</f>
        <v>0</v>
      </c>
    </row>
    <row r="25" customFormat="false" ht="15" hidden="false" customHeight="true" outlineLevel="0" collapsed="false">
      <c r="A25" s="3" t="s">
        <v>139</v>
      </c>
      <c r="B25" s="3" t="s">
        <v>85</v>
      </c>
      <c r="C25" s="7" t="str">
        <f aca="false">IFERROR(INDEX(Nodes!$B$5:$B$120,MATCH($B25,Nodes!$A$5:$A$120,0)),"")</f>
        <v>Our city should plant more street trees.</v>
      </c>
      <c r="D25" s="16" t="s">
        <v>133</v>
      </c>
      <c r="E25" s="3" t="s">
        <v>92</v>
      </c>
      <c r="F25" s="7" t="str">
        <f aca="false">IFERROR(INDEX(Nodes!$B$5:$B$120,MATCH($E25,Nodes!$A$5:$A$120,0)),"")</f>
        <v>Tree roots damage sidewalks and raise repair costs.</v>
      </c>
      <c r="G25" s="14" t="n">
        <v>3</v>
      </c>
      <c r="H25" s="14" t="n">
        <v>1</v>
      </c>
      <c r="I25" s="11" t="n">
        <f aca="false">IF($G25+$H25=0,1,($G25-$H25)/($G25+$H25))</f>
        <v>0.5</v>
      </c>
      <c r="J25" s="15" t="n">
        <f aca="false">Nodes!$H$26</f>
        <v>1</v>
      </c>
      <c r="K25" s="12" t="n">
        <f aca="false">$J25*$I25</f>
        <v>0.5</v>
      </c>
    </row>
    <row r="26" customFormat="false" ht="15" hidden="false" customHeight="true" outlineLevel="0" collapsed="false">
      <c r="A26" s="3" t="s">
        <v>140</v>
      </c>
      <c r="B26" s="3" t="s">
        <v>88</v>
      </c>
      <c r="C26" s="7" t="str">
        <f aca="false">IFERROR(INDEX(Nodes!$B$5:$B$120,MATCH($B26,Nodes!$A$5:$A$120,0)),"")</f>
        <v>Street trees measurably cool neighborhoods in summer.</v>
      </c>
      <c r="D26" s="13" t="s">
        <v>118</v>
      </c>
      <c r="E26" s="3" t="s">
        <v>94</v>
      </c>
      <c r="F26" s="7" t="str">
        <f aca="false">IFERROR(INDEX(Nodes!$B$5:$B$120,MATCH($E26,Nodes!$A$5:$A$120,0)),"")</f>
        <v>Shaded pavement stays 10-15 degrees cooler in heat waves.</v>
      </c>
      <c r="G26" s="14" t="n">
        <v>0</v>
      </c>
      <c r="H26" s="14" t="n">
        <v>0</v>
      </c>
      <c r="I26" s="11" t="n">
        <f aca="false">IF($G26+$H26=0,1,($G26-$H26)/($G26+$H26))</f>
        <v>1</v>
      </c>
      <c r="J26" s="15" t="n">
        <f aca="false">Nodes!$H$27</f>
        <v>0</v>
      </c>
      <c r="K26" s="12" t="n">
        <f aca="false">$J26*$I26</f>
        <v>0</v>
      </c>
    </row>
    <row r="27" customFormat="false" ht="15" hidden="false" customHeight="true" outlineLevel="0" collapsed="false">
      <c r="A27" s="3" t="s">
        <v>141</v>
      </c>
      <c r="B27" s="3" t="s">
        <v>88</v>
      </c>
      <c r="C27" s="7" t="str">
        <f aca="false">IFERROR(INDEX(Nodes!$B$5:$B$120,MATCH($B27,Nodes!$A$5:$A$120,0)),"")</f>
        <v>Street trees measurably cool neighborhoods in summer.</v>
      </c>
      <c r="D27" s="13" t="s">
        <v>118</v>
      </c>
      <c r="E27" s="3" t="s">
        <v>96</v>
      </c>
      <c r="F27" s="7" t="str">
        <f aca="false">IFERROR(INDEX(Nodes!$B$5:$B$120,MATCH($E27,Nodes!$A$5:$A$120,0)),"")</f>
        <v>Tree canopy lowers home cooling bills.</v>
      </c>
      <c r="G27" s="14" t="n">
        <v>0</v>
      </c>
      <c r="H27" s="14" t="n">
        <v>0</v>
      </c>
      <c r="I27" s="11" t="n">
        <f aca="false">IF($G27+$H27=0,1,($G27-$H27)/($G27+$H27))</f>
        <v>1</v>
      </c>
      <c r="J27" s="15" t="n">
        <f aca="false">Nodes!$H$28</f>
        <v>0</v>
      </c>
      <c r="K27" s="12" t="n">
        <f aca="false">$J27*$I27</f>
        <v>0</v>
      </c>
    </row>
    <row r="28" customFormat="false" ht="15" hidden="false" customHeight="true" outlineLevel="0" collapsed="false">
      <c r="A28" s="3" t="s">
        <v>142</v>
      </c>
      <c r="B28" s="3" t="s">
        <v>90</v>
      </c>
      <c r="C28" s="7" t="str">
        <f aca="false">IFERROR(INDEX(Nodes!$B$5:$B$120,MATCH($B28,Nodes!$A$5:$A$120,0)),"")</f>
        <v>Street trees increase nearby property values.</v>
      </c>
      <c r="D28" s="13" t="s">
        <v>118</v>
      </c>
      <c r="E28" s="3" t="s">
        <v>98</v>
      </c>
      <c r="F28" s="7" t="str">
        <f aca="false">IFERROR(INDEX(Nodes!$B$5:$B$120,MATCH($E28,Nodes!$A$5:$A$120,0)),"")</f>
        <v>Studies show a price premium for tree-lined streets.</v>
      </c>
      <c r="G28" s="14" t="n">
        <v>0</v>
      </c>
      <c r="H28" s="14" t="n">
        <v>0</v>
      </c>
      <c r="I28" s="11" t="n">
        <f aca="false">IF($G28+$H28=0,1,($G28-$H28)/($G28+$H28))</f>
        <v>1</v>
      </c>
      <c r="J28" s="15" t="n">
        <f aca="false">Nodes!$H$29</f>
        <v>0</v>
      </c>
      <c r="K28" s="12" t="n">
        <f aca="false">$J28*$I28</f>
        <v>0</v>
      </c>
    </row>
    <row r="29" customFormat="false" ht="15" hidden="false" customHeight="true" outlineLevel="0" collapsed="false">
      <c r="A29" s="3" t="s">
        <v>143</v>
      </c>
      <c r="B29" s="3" t="s">
        <v>90</v>
      </c>
      <c r="C29" s="7" t="str">
        <f aca="false">IFERROR(INDEX(Nodes!$B$5:$B$120,MATCH($B29,Nodes!$A$5:$A$120,0)),"")</f>
        <v>Street trees increase nearby property values.</v>
      </c>
      <c r="D29" s="16" t="s">
        <v>133</v>
      </c>
      <c r="E29" s="3" t="s">
        <v>100</v>
      </c>
      <c r="F29" s="7" t="str">
        <f aca="false">IFERROR(INDEX(Nodes!$B$5:$B$120,MATCH($E29,Nodes!$A$5:$A$120,0)),"")</f>
        <v>The premium disappears after controlling for neighborhood wealth.</v>
      </c>
      <c r="G29" s="14" t="n">
        <v>0</v>
      </c>
      <c r="H29" s="14" t="n">
        <v>0</v>
      </c>
      <c r="I29" s="11" t="n">
        <f aca="false">IF($G29+$H29=0,1,($G29-$H29)/($G29+$H29))</f>
        <v>1</v>
      </c>
      <c r="J29" s="15" t="n">
        <f aca="false">Nodes!$H$30</f>
        <v>0</v>
      </c>
      <c r="K29" s="12" t="n">
        <f aca="false">$J29*$I29</f>
        <v>0</v>
      </c>
    </row>
    <row r="30" customFormat="false" ht="15" hidden="false" customHeight="true" outlineLevel="0" collapsed="false">
      <c r="A30" s="3" t="s">
        <v>144</v>
      </c>
      <c r="B30" s="3" t="s">
        <v>92</v>
      </c>
      <c r="C30" s="7" t="str">
        <f aca="false">IFERROR(INDEX(Nodes!$B$5:$B$120,MATCH($B30,Nodes!$A$5:$A$120,0)),"")</f>
        <v>Tree roots damage sidewalks and raise repair costs.</v>
      </c>
      <c r="D30" s="13" t="s">
        <v>118</v>
      </c>
      <c r="E30" s="3" t="s">
        <v>102</v>
      </c>
      <c r="F30" s="7" t="str">
        <f aca="false">IFERROR(INDEX(Nodes!$B$5:$B$120,MATCH($E30,Nodes!$A$5:$A$120,0)),"")</f>
        <v>Root barriers and proper species choice prevent most damage.</v>
      </c>
      <c r="G30" s="14" t="n">
        <v>0</v>
      </c>
      <c r="H30" s="14" t="n">
        <v>0</v>
      </c>
      <c r="I30" s="11" t="n">
        <f aca="false">IF($G30+$H30=0,1,($G30-$H30)/($G30+$H30))</f>
        <v>1</v>
      </c>
      <c r="J30" s="15" t="n">
        <f aca="false">Nodes!$H$31</f>
        <v>0</v>
      </c>
      <c r="K30" s="12" t="n">
        <f aca="false">$J30*$I30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76"/>
    <col collapsed="false" customWidth="true" hidden="false" outlineLevel="0" max="6" min="4" style="1" width="11"/>
  </cols>
  <sheetData>
    <row r="1" customFormat="false" ht="19.5" hidden="false" customHeight="true" outlineLevel="0" collapsed="false">
      <c r="A1" s="2" t="s">
        <v>145</v>
      </c>
    </row>
    <row r="2" customFormat="false" ht="15" hidden="false" customHeight="true" outlineLevel="0" collapsed="false">
      <c r="A2" s="7" t="s">
        <v>146</v>
      </c>
    </row>
    <row r="4" customFormat="false" ht="15" hidden="false" customHeight="true" outlineLevel="0" collapsed="false">
      <c r="A4" s="9" t="s">
        <v>147</v>
      </c>
    </row>
    <row r="5" customFormat="false" ht="15" hidden="false" customHeight="true" outlineLevel="0" collapsed="false">
      <c r="A5" s="10" t="s">
        <v>148</v>
      </c>
      <c r="B5" s="10" t="s">
        <v>39</v>
      </c>
      <c r="C5" s="10" t="s">
        <v>40</v>
      </c>
      <c r="D5" s="10" t="s">
        <v>42</v>
      </c>
      <c r="E5" s="10" t="s">
        <v>43</v>
      </c>
      <c r="F5" s="10" t="s">
        <v>46</v>
      </c>
    </row>
    <row r="6" customFormat="false" ht="15" hidden="false" customHeight="true" outlineLevel="0" collapsed="false">
      <c r="A6" s="3" t="n">
        <f aca="false">Nodes!$I$5</f>
        <v>1</v>
      </c>
      <c r="B6" s="3" t="s">
        <v>48</v>
      </c>
      <c r="C6" s="17" t="str">
        <f aca="false">Nodes!$B$5</f>
        <v>Mormons should not be afraid of investigating the truth about their religion.</v>
      </c>
      <c r="D6" s="3" t="n">
        <f aca="false">Nodes!$D$5</f>
        <v>4</v>
      </c>
      <c r="E6" s="3" t="n">
        <f aca="false">Nodes!$E$5</f>
        <v>0</v>
      </c>
      <c r="F6" s="12" t="n">
        <f aca="false">Nodes!$H$5</f>
        <v>10.699</v>
      </c>
    </row>
    <row r="7" customFormat="false" ht="15" hidden="false" customHeight="true" outlineLevel="0" collapsed="false">
      <c r="A7" s="3" t="n">
        <f aca="false">Nodes!$I$6</f>
        <v>2</v>
      </c>
      <c r="B7" s="3" t="s">
        <v>51</v>
      </c>
      <c r="C7" s="17" t="str">
        <f aca="false">Nodes!$B$6</f>
        <v>Many LDS church leaders have encouraged the complete and utter loyalty to the Truth.</v>
      </c>
      <c r="D7" s="3" t="n">
        <f aca="false">Nodes!$D$6</f>
        <v>2</v>
      </c>
      <c r="E7" s="3" t="n">
        <f aca="false">Nodes!$E$6</f>
        <v>0</v>
      </c>
      <c r="F7" s="12" t="n">
        <f aca="false">Nodes!$H$6</f>
        <v>5.57</v>
      </c>
    </row>
    <row r="8" customFormat="false" ht="15" hidden="false" customHeight="true" outlineLevel="0" collapsed="false">
      <c r="A8" s="3" t="n">
        <f aca="false">Nodes!$I$7</f>
        <v>3</v>
      </c>
      <c r="B8" s="3" t="s">
        <v>53</v>
      </c>
      <c r="C8" s="17" t="str">
        <f aca="false">Nodes!$B$7</f>
        <v>President J. Reuben Clark was right: if we have the truth, it cannot be harmed by investigation.</v>
      </c>
      <c r="D8" s="3" t="n">
        <f aca="false">Nodes!$D$7</f>
        <v>4</v>
      </c>
      <c r="E8" s="3" t="n">
        <f aca="false">Nodes!$E$7</f>
        <v>1</v>
      </c>
      <c r="F8" s="12" t="n">
        <f aca="false">Nodes!$H$7</f>
        <v>5.1</v>
      </c>
    </row>
    <row r="9" customFormat="false" ht="15" hidden="false" customHeight="true" outlineLevel="0" collapsed="false">
      <c r="A9" s="3" t="n">
        <f aca="false">Nodes!$I$9</f>
        <v>4</v>
      </c>
      <c r="B9" s="3" t="s">
        <v>57</v>
      </c>
      <c r="C9" s="17" t="str">
        <f aca="false">Nodes!$B$9</f>
        <v>LDS doctrine teaches that you cannot be saved in ignorance.</v>
      </c>
      <c r="D9" s="3" t="n">
        <f aca="false">Nodes!$D$9</f>
        <v>2</v>
      </c>
      <c r="E9" s="3" t="n">
        <f aca="false">Nodes!$E$9</f>
        <v>0</v>
      </c>
      <c r="F9" s="12" t="n">
        <f aca="false">Nodes!$H$9</f>
        <v>2</v>
      </c>
    </row>
    <row r="10" customFormat="false" ht="15" hidden="false" customHeight="true" outlineLevel="0" collapsed="false">
      <c r="A10" s="3" t="n">
        <f aca="false">Nodes!$I$8</f>
        <v>5</v>
      </c>
      <c r="B10" s="3" t="s">
        <v>55</v>
      </c>
      <c r="C10" s="17" t="str">
        <f aca="false">Nodes!$B$8</f>
        <v>God is truth and knowledge; hiding truth to keep people in a religion is the opposite of God.</v>
      </c>
      <c r="D10" s="3" t="n">
        <f aca="false">Nodes!$D$8</f>
        <v>2</v>
      </c>
      <c r="E10" s="3" t="n">
        <f aca="false">Nodes!$E$8</f>
        <v>1</v>
      </c>
      <c r="F10" s="12" t="n">
        <f aca="false">Nodes!$H$8</f>
        <v>1</v>
      </c>
    </row>
    <row r="11" customFormat="false" ht="15" hidden="false" customHeight="true" outlineLevel="0" collapsed="false">
      <c r="A11" s="3" t="n">
        <f aca="false">Nodes!$I$10</f>
        <v>5</v>
      </c>
      <c r="B11" s="3" t="s">
        <v>59</v>
      </c>
      <c r="C11" s="17" t="str">
        <f aca="false">Nodes!$B$10</f>
        <v>If you cannot be saved in ignorance, you will eventually learn about all the Church's warts.</v>
      </c>
      <c r="D11" s="3" t="n">
        <f aca="false">Nodes!$D$10</f>
        <v>1</v>
      </c>
      <c r="E11" s="3" t="n">
        <f aca="false">Nodes!$E$10</f>
        <v>0</v>
      </c>
      <c r="F11" s="12" t="n">
        <f aca="false">Nodes!$H$10</f>
        <v>1</v>
      </c>
    </row>
    <row r="12" customFormat="false" ht="15" hidden="false" customHeight="true" outlineLevel="0" collapsed="false">
      <c r="A12" s="3" t="n">
        <f aca="false">Nodes!$I$11</f>
        <v>5</v>
      </c>
      <c r="B12" s="3" t="s">
        <v>61</v>
      </c>
      <c r="C12" s="17" t="str">
        <f aca="false">Nodes!$B$11</f>
        <v>Even if the Mormon Church is true, its leaders should not use half truths to keep people in it.</v>
      </c>
      <c r="D12" s="3" t="n">
        <f aca="false">Nodes!$D$11</f>
        <v>1</v>
      </c>
      <c r="E12" s="3" t="n">
        <f aca="false">Nodes!$E$11</f>
        <v>0</v>
      </c>
      <c r="F12" s="12" t="n">
        <f aca="false">Nodes!$H$11</f>
        <v>1</v>
      </c>
    </row>
    <row r="13" customFormat="false" ht="15" hidden="false" customHeight="true" outlineLevel="0" collapsed="false">
      <c r="A13" s="3" t="n">
        <f aca="false">Nodes!$I$12</f>
        <v>8</v>
      </c>
      <c r="B13" s="3" t="s">
        <v>63</v>
      </c>
      <c r="C13" s="17" t="str">
        <f aca="false">Nodes!$B$12</f>
        <v>The whole narrative of Joseph Smith starting the Church is that he asked of God (James 1:5).</v>
      </c>
      <c r="D13" s="3" t="n">
        <f aca="false">Nodes!$D$12</f>
        <v>0</v>
      </c>
      <c r="E13" s="3" t="n">
        <f aca="false">Nodes!$E$12</f>
        <v>0</v>
      </c>
      <c r="F13" s="12" t="n">
        <f aca="false">Nodes!$H$12</f>
        <v>0</v>
      </c>
    </row>
    <row r="14" customFormat="false" ht="15" hidden="false" customHeight="true" outlineLevel="0" collapsed="false">
      <c r="A14" s="3" t="n">
        <f aca="false">Nodes!$I$13</f>
        <v>8</v>
      </c>
      <c r="B14" s="3" t="s">
        <v>65</v>
      </c>
      <c r="C14" s="17" t="str">
        <f aca="false">Nodes!$B$13</f>
        <v>D&amp;C 131:6: It is impossible for a man to be saved in ignorance.</v>
      </c>
      <c r="D14" s="3" t="n">
        <f aca="false">Nodes!$D$13</f>
        <v>0</v>
      </c>
      <c r="E14" s="3" t="n">
        <f aca="false">Nodes!$E$13</f>
        <v>0</v>
      </c>
      <c r="F14" s="12" t="n">
        <f aca="false">Nodes!$H$13</f>
        <v>0</v>
      </c>
    </row>
    <row r="15" customFormat="false" ht="15" hidden="false" customHeight="true" outlineLevel="0" collapsed="false">
      <c r="A15" s="3" t="n">
        <f aca="false">Nodes!$I$14</f>
        <v>8</v>
      </c>
      <c r="B15" s="3" t="s">
        <v>67</v>
      </c>
      <c r="C15" s="17" t="str">
        <f aca="false">Nodes!$B$14</f>
        <v>D&amp;C 137:7: All who have died without a knowledge of this gospel... shall be heirs.</v>
      </c>
      <c r="D15" s="3" t="n">
        <f aca="false">Nodes!$D$14</f>
        <v>0</v>
      </c>
      <c r="E15" s="3" t="n">
        <f aca="false">Nodes!$E$14</f>
        <v>0</v>
      </c>
      <c r="F15" s="12" t="n">
        <f aca="false">Nodes!$H$14</f>
        <v>0</v>
      </c>
    </row>
    <row r="16" customFormat="false" ht="15" hidden="false" customHeight="true" outlineLevel="0" collapsed="false">
      <c r="A16" s="3" t="n">
        <f aca="false">Nodes!$I$15</f>
        <v>8</v>
      </c>
      <c r="B16" s="3" t="s">
        <v>69</v>
      </c>
      <c r="C16" s="17" t="str">
        <f aca="false">Nodes!$B$15</f>
        <v>What information you expose yourself to determines what you learn eventually.</v>
      </c>
      <c r="D16" s="3" t="n">
        <f aca="false">Nodes!$D$15</f>
        <v>0</v>
      </c>
      <c r="E16" s="3" t="n">
        <f aca="false">Nodes!$E$15</f>
        <v>0</v>
      </c>
      <c r="F16" s="12" t="n">
        <f aca="false">Nodes!$H$15</f>
        <v>0</v>
      </c>
    </row>
    <row r="17" customFormat="false" ht="15" hidden="false" customHeight="true" outlineLevel="0" collapsed="false">
      <c r="A17" s="3" t="n">
        <f aca="false">Nodes!$I$16</f>
        <v>8</v>
      </c>
      <c r="B17" s="3" t="s">
        <v>71</v>
      </c>
      <c r="C17" s="17" t="str">
        <f aca="false">Nodes!$B$16</f>
        <v>Telling half truths or hiding the whole truth serves an agenda other than truth.</v>
      </c>
      <c r="D17" s="3" t="n">
        <f aca="false">Nodes!$D$16</f>
        <v>0</v>
      </c>
      <c r="E17" s="3" t="n">
        <f aca="false">Nodes!$E$16</f>
        <v>0</v>
      </c>
      <c r="F17" s="12" t="n">
        <f aca="false">Nodes!$H$16</f>
        <v>0</v>
      </c>
    </row>
    <row r="18" customFormat="false" ht="15" hidden="false" customHeight="true" outlineLevel="0" collapsed="false">
      <c r="A18" s="3" t="n">
        <f aca="false">Nodes!$I$17</f>
        <v>8</v>
      </c>
      <c r="B18" s="3" t="s">
        <v>73</v>
      </c>
      <c r="C18" s="17" t="str">
        <f aca="false">Nodes!$B$17</f>
        <v>Truth is always helped by honest, logical, transparent investigation.</v>
      </c>
      <c r="D18" s="3" t="n">
        <f aca="false">Nodes!$D$17</f>
        <v>0</v>
      </c>
      <c r="E18" s="3" t="n">
        <f aca="false">Nodes!$E$17</f>
        <v>0</v>
      </c>
      <c r="F18" s="12" t="n">
        <f aca="false">Nodes!$H$17</f>
        <v>0</v>
      </c>
    </row>
    <row r="19" customFormat="false" ht="15" hidden="false" customHeight="true" outlineLevel="0" collapsed="false">
      <c r="A19" s="3" t="n">
        <f aca="false">Nodes!$I$18</f>
        <v>8</v>
      </c>
      <c r="B19" s="3" t="s">
        <v>75</v>
      </c>
      <c r="C19" s="17" t="str">
        <f aca="false">Nodes!$B$18</f>
        <v>Even if the Mormon Church is true, they shouldn't lie to keep people in it.</v>
      </c>
      <c r="D19" s="3" t="n">
        <f aca="false">Nodes!$D$18</f>
        <v>0</v>
      </c>
      <c r="E19" s="3" t="n">
        <f aca="false">Nodes!$E$18</f>
        <v>0</v>
      </c>
      <c r="F19" s="12" t="n">
        <f aca="false">Nodes!$H$18</f>
        <v>0</v>
      </c>
    </row>
    <row r="20" customFormat="false" ht="15" hidden="false" customHeight="true" outlineLevel="0" collapsed="false">
      <c r="A20" s="3" t="n">
        <f aca="false">Nodes!$I$19</f>
        <v>8</v>
      </c>
      <c r="B20" s="3" t="s">
        <v>77</v>
      </c>
      <c r="C20" s="17" t="str">
        <f aca="false">Nodes!$B$19</f>
        <v>If God wants everyone to be Mormon, it is more important to tell faith-promoting stories.</v>
      </c>
      <c r="D20" s="3" t="n">
        <f aca="false">Nodes!$D$19</f>
        <v>0</v>
      </c>
      <c r="E20" s="3" t="n">
        <f aca="false">Nodes!$E$19</f>
        <v>0</v>
      </c>
      <c r="F20" s="12" t="n">
        <f aca="false">Nodes!$H$19</f>
        <v>0</v>
      </c>
    </row>
    <row r="21" customFormat="false" ht="15" hidden="false" customHeight="true" outlineLevel="0" collapsed="false">
      <c r="A21" s="3" t="n">
        <f aca="false">Nodes!$I$20</f>
        <v>8</v>
      </c>
      <c r="B21" s="3" t="s">
        <v>79</v>
      </c>
      <c r="C21" s="17" t="str">
        <f aca="false">Nodes!$B$20</f>
        <v>The 10 commandments tell us not to bear false witness.</v>
      </c>
      <c r="D21" s="3" t="n">
        <f aca="false">Nodes!$D$20</f>
        <v>0</v>
      </c>
      <c r="E21" s="3" t="n">
        <f aca="false">Nodes!$E$20</f>
        <v>0</v>
      </c>
      <c r="F21" s="12" t="n">
        <f aca="false">Nodes!$H$20</f>
        <v>0</v>
      </c>
    </row>
    <row r="22" customFormat="false" ht="15" hidden="false" customHeight="true" outlineLevel="0" collapsed="false">
      <c r="A22" s="3" t="n">
        <f aca="false">Nodes!$I$21</f>
        <v>8</v>
      </c>
      <c r="B22" s="3" t="s">
        <v>81</v>
      </c>
      <c r="C22" s="17" t="str">
        <f aca="false">Nodes!$B$21</f>
        <v>Mormons are told not to lie, or do anything like unto it.</v>
      </c>
      <c r="D22" s="3" t="n">
        <f aca="false">Nodes!$D$21</f>
        <v>0</v>
      </c>
      <c r="E22" s="3" t="n">
        <f aca="false">Nodes!$E$21</f>
        <v>0</v>
      </c>
      <c r="F22" s="12" t="n">
        <f aca="false">Nodes!$H$21</f>
        <v>0</v>
      </c>
    </row>
    <row r="23" customFormat="false" ht="15" hidden="false" customHeight="true" outlineLevel="0" collapsed="false">
      <c r="A23" s="3" t="n">
        <f aca="false">Nodes!$I$22</f>
        <v>8</v>
      </c>
      <c r="B23" s="3" t="s">
        <v>83</v>
      </c>
      <c r="C23" s="17" t="str">
        <f aca="false">Nodes!$B$22</f>
        <v>Jesus said people should be given milk before meat.</v>
      </c>
      <c r="D23" s="3" t="n">
        <f aca="false">Nodes!$D$22</f>
        <v>0</v>
      </c>
      <c r="E23" s="3" t="n">
        <f aca="false">Nodes!$E$22</f>
        <v>0</v>
      </c>
      <c r="F23" s="12" t="n">
        <f aca="false">Nodes!$H$22</f>
        <v>0</v>
      </c>
    </row>
    <row r="26" customFormat="false" ht="15" hidden="false" customHeight="true" outlineLevel="0" collapsed="false">
      <c r="A26" s="9" t="s">
        <v>149</v>
      </c>
    </row>
    <row r="27" customFormat="false" ht="15" hidden="false" customHeight="true" outlineLevel="0" collapsed="false">
      <c r="A27" s="10" t="s">
        <v>148</v>
      </c>
      <c r="B27" s="10" t="s">
        <v>39</v>
      </c>
      <c r="C27" s="10" t="s">
        <v>40</v>
      </c>
      <c r="D27" s="10" t="s">
        <v>42</v>
      </c>
      <c r="E27" s="10" t="s">
        <v>43</v>
      </c>
      <c r="F27" s="10" t="s">
        <v>46</v>
      </c>
    </row>
    <row r="28" customFormat="false" ht="15" hidden="false" customHeight="true" outlineLevel="0" collapsed="false">
      <c r="A28" s="3" t="n">
        <f aca="false">Nodes!$I$23</f>
        <v>1</v>
      </c>
      <c r="B28" s="3" t="s">
        <v>85</v>
      </c>
      <c r="C28" s="17" t="str">
        <f aca="false">Nodes!$B$23</f>
        <v>Our city should plant more street trees.</v>
      </c>
      <c r="D28" s="3" t="n">
        <f aca="false">Nodes!$D$23</f>
        <v>2</v>
      </c>
      <c r="E28" s="3" t="n">
        <f aca="false">Nodes!$E$23</f>
        <v>1</v>
      </c>
      <c r="F28" s="12" t="n">
        <f aca="false">Nodes!$H$23</f>
        <v>2.05</v>
      </c>
    </row>
    <row r="29" customFormat="false" ht="15" hidden="false" customHeight="true" outlineLevel="0" collapsed="false">
      <c r="A29" s="3" t="n">
        <f aca="false">Nodes!$I$24</f>
        <v>2</v>
      </c>
      <c r="B29" s="3" t="s">
        <v>88</v>
      </c>
      <c r="C29" s="17" t="str">
        <f aca="false">Nodes!$B$24</f>
        <v>Street trees measurably cool neighborhoods in summer.</v>
      </c>
      <c r="D29" s="3" t="n">
        <f aca="false">Nodes!$D$24</f>
        <v>2</v>
      </c>
      <c r="E29" s="3" t="n">
        <f aca="false">Nodes!$E$24</f>
        <v>0</v>
      </c>
      <c r="F29" s="12" t="n">
        <f aca="false">Nodes!$H$24</f>
        <v>2</v>
      </c>
    </row>
    <row r="30" customFormat="false" ht="15" hidden="false" customHeight="true" outlineLevel="0" collapsed="false">
      <c r="A30" s="3" t="n">
        <f aca="false">Nodes!$I$26</f>
        <v>3</v>
      </c>
      <c r="B30" s="3" t="s">
        <v>92</v>
      </c>
      <c r="C30" s="17" t="str">
        <f aca="false">Nodes!$B$26</f>
        <v>Tree roots damage sidewalks and raise repair costs.</v>
      </c>
      <c r="D30" s="3" t="n">
        <f aca="false">Nodes!$D$26</f>
        <v>1</v>
      </c>
      <c r="E30" s="3" t="n">
        <f aca="false">Nodes!$E$26</f>
        <v>0</v>
      </c>
      <c r="F30" s="12" t="n">
        <f aca="false">Nodes!$H$26</f>
        <v>1</v>
      </c>
    </row>
    <row r="31" customFormat="false" ht="15" hidden="false" customHeight="true" outlineLevel="0" collapsed="false">
      <c r="A31" s="3" t="n">
        <f aca="false">Nodes!$I$25</f>
        <v>4</v>
      </c>
      <c r="B31" s="3" t="s">
        <v>90</v>
      </c>
      <c r="C31" s="17" t="str">
        <f aca="false">Nodes!$B$25</f>
        <v>Street trees increase nearby property values.</v>
      </c>
      <c r="D31" s="3" t="n">
        <f aca="false">Nodes!$D$25</f>
        <v>1</v>
      </c>
      <c r="E31" s="3" t="n">
        <f aca="false">Nodes!$E$25</f>
        <v>1</v>
      </c>
      <c r="F31" s="12" t="n">
        <f aca="false">Nodes!$H$25</f>
        <v>0</v>
      </c>
    </row>
    <row r="32" customFormat="false" ht="15" hidden="false" customHeight="true" outlineLevel="0" collapsed="false">
      <c r="A32" s="3" t="n">
        <f aca="false">Nodes!$I$27</f>
        <v>4</v>
      </c>
      <c r="B32" s="3" t="s">
        <v>94</v>
      </c>
      <c r="C32" s="17" t="str">
        <f aca="false">Nodes!$B$27</f>
        <v>Shaded pavement stays 10-15 degrees cooler in heat waves.</v>
      </c>
      <c r="D32" s="3" t="n">
        <f aca="false">Nodes!$D$27</f>
        <v>0</v>
      </c>
      <c r="E32" s="3" t="n">
        <f aca="false">Nodes!$E$27</f>
        <v>0</v>
      </c>
      <c r="F32" s="12" t="n">
        <f aca="false">Nodes!$H$27</f>
        <v>0</v>
      </c>
    </row>
    <row r="33" customFormat="false" ht="15" hidden="false" customHeight="true" outlineLevel="0" collapsed="false">
      <c r="A33" s="3" t="n">
        <f aca="false">Nodes!$I$28</f>
        <v>4</v>
      </c>
      <c r="B33" s="3" t="s">
        <v>96</v>
      </c>
      <c r="C33" s="17" t="str">
        <f aca="false">Nodes!$B$28</f>
        <v>Tree canopy lowers home cooling bills.</v>
      </c>
      <c r="D33" s="3" t="n">
        <f aca="false">Nodes!$D$28</f>
        <v>0</v>
      </c>
      <c r="E33" s="3" t="n">
        <f aca="false">Nodes!$E$28</f>
        <v>0</v>
      </c>
      <c r="F33" s="12" t="n">
        <f aca="false">Nodes!$H$28</f>
        <v>0</v>
      </c>
    </row>
    <row r="34" customFormat="false" ht="15" hidden="false" customHeight="true" outlineLevel="0" collapsed="false">
      <c r="A34" s="3" t="n">
        <f aca="false">Nodes!$I$29</f>
        <v>4</v>
      </c>
      <c r="B34" s="3" t="s">
        <v>98</v>
      </c>
      <c r="C34" s="17" t="str">
        <f aca="false">Nodes!$B$29</f>
        <v>Studies show a price premium for tree-lined streets.</v>
      </c>
      <c r="D34" s="3" t="n">
        <f aca="false">Nodes!$D$29</f>
        <v>0</v>
      </c>
      <c r="E34" s="3" t="n">
        <f aca="false">Nodes!$E$29</f>
        <v>0</v>
      </c>
      <c r="F34" s="12" t="n">
        <f aca="false">Nodes!$H$29</f>
        <v>0</v>
      </c>
    </row>
    <row r="35" customFormat="false" ht="15" hidden="false" customHeight="true" outlineLevel="0" collapsed="false">
      <c r="A35" s="3" t="n">
        <f aca="false">Nodes!$I$30</f>
        <v>4</v>
      </c>
      <c r="B35" s="3" t="s">
        <v>100</v>
      </c>
      <c r="C35" s="17" t="str">
        <f aca="false">Nodes!$B$30</f>
        <v>The premium disappears after controlling for neighborhood wealth.</v>
      </c>
      <c r="D35" s="3" t="n">
        <f aca="false">Nodes!$D$30</f>
        <v>0</v>
      </c>
      <c r="E35" s="3" t="n">
        <f aca="false">Nodes!$E$30</f>
        <v>0</v>
      </c>
      <c r="F35" s="12" t="n">
        <f aca="false">Nodes!$H$30</f>
        <v>0</v>
      </c>
    </row>
    <row r="36" customFormat="false" ht="15" hidden="false" customHeight="true" outlineLevel="0" collapsed="false">
      <c r="A36" s="3" t="n">
        <f aca="false">Nodes!$I$31</f>
        <v>4</v>
      </c>
      <c r="B36" s="3" t="s">
        <v>102</v>
      </c>
      <c r="C36" s="17" t="str">
        <f aca="false">Nodes!$B$31</f>
        <v>Root barriers and proper species choice prevent most damage.</v>
      </c>
      <c r="D36" s="3" t="n">
        <f aca="false">Nodes!$D$31</f>
        <v>0</v>
      </c>
      <c r="E36" s="3" t="n">
        <f aca="false">Nodes!$E$31</f>
        <v>0</v>
      </c>
      <c r="F36" s="12" t="n">
        <f aca="false">Nodes!$H$31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2"/>
  </cols>
  <sheetData>
    <row r="1" customFormat="false" ht="19.5" hidden="false" customHeight="true" outlineLevel="0" collapsed="false">
      <c r="A1" s="2" t="s">
        <v>150</v>
      </c>
    </row>
    <row r="2" customFormat="false" ht="15" hidden="false" customHeight="true" outlineLevel="0" collapsed="false">
      <c r="A2" s="7" t="s">
        <v>151</v>
      </c>
    </row>
    <row r="4" customFormat="false" ht="15" hidden="false" customHeight="true" outlineLevel="0" collapsed="false">
      <c r="A4" s="9" t="s">
        <v>152</v>
      </c>
    </row>
    <row r="6" customFormat="false" ht="15" hidden="false" customHeight="true" outlineLevel="0" collapsed="false">
      <c r="A6" s="10" t="s">
        <v>153</v>
      </c>
      <c r="B6" s="10" t="s">
        <v>154</v>
      </c>
      <c r="C6" s="10" t="s">
        <v>155</v>
      </c>
      <c r="D6" s="10" t="s">
        <v>156</v>
      </c>
    </row>
    <row r="7" customFormat="false" ht="15" hidden="false" customHeight="true" outlineLevel="0" collapsed="false">
      <c r="A7" s="3" t="s">
        <v>157</v>
      </c>
      <c r="B7" s="3" t="s">
        <v>158</v>
      </c>
      <c r="C7" s="7" t="s">
        <v>159</v>
      </c>
      <c r="D7" s="18" t="n">
        <f aca="false">Nodes!$D$23</f>
        <v>2</v>
      </c>
    </row>
    <row r="8" customFormat="false" ht="15" hidden="false" customHeight="true" outlineLevel="0" collapsed="false">
      <c r="A8" s="3" t="s">
        <v>160</v>
      </c>
      <c r="B8" s="3" t="s">
        <v>161</v>
      </c>
      <c r="C8" s="7" t="s">
        <v>162</v>
      </c>
      <c r="D8" s="18" t="n">
        <f aca="false">Nodes!$E$23</f>
        <v>1</v>
      </c>
    </row>
    <row r="9" customFormat="false" ht="15" hidden="false" customHeight="true" outlineLevel="0" collapsed="false">
      <c r="A9" s="3" t="s">
        <v>163</v>
      </c>
      <c r="B9" s="3" t="s">
        <v>164</v>
      </c>
      <c r="C9" s="7" t="s">
        <v>165</v>
      </c>
      <c r="D9" s="18" t="n">
        <f aca="false">Nodes!$D$23-Nodes!$E$23</f>
        <v>1</v>
      </c>
    </row>
    <row r="10" customFormat="false" ht="15" hidden="false" customHeight="true" outlineLevel="0" collapsed="false">
      <c r="A10" s="3" t="s">
        <v>166</v>
      </c>
      <c r="B10" s="3" t="s">
        <v>167</v>
      </c>
      <c r="C10" s="7" t="s">
        <v>168</v>
      </c>
    </row>
    <row r="11" customFormat="false" ht="15" hidden="false" customHeight="true" outlineLevel="0" collapsed="false">
      <c r="B11" s="10" t="s">
        <v>169</v>
      </c>
      <c r="C11" s="10" t="s">
        <v>109</v>
      </c>
      <c r="D11" s="10" t="s">
        <v>170</v>
      </c>
      <c r="E11" s="10" t="s">
        <v>171</v>
      </c>
      <c r="F11" s="10" t="s">
        <v>172</v>
      </c>
    </row>
    <row r="12" customFormat="false" ht="15" hidden="false" customHeight="true" outlineLevel="0" collapsed="false">
      <c r="B12" s="17" t="str">
        <f aca="false">Edges!$F$23</f>
        <v>Street trees measurably cool neighborhoods in summer.</v>
      </c>
      <c r="C12" s="3" t="str">
        <f aca="false">Edges!$D$23</f>
        <v>agree</v>
      </c>
      <c r="D12" s="11" t="n">
        <f aca="false">Edges!$J$23</f>
        <v>2</v>
      </c>
      <c r="E12" s="11" t="n">
        <f aca="false">Edges!$I$23</f>
        <v>1</v>
      </c>
      <c r="F12" s="11" t="n">
        <f aca="false">Edges!$K$23</f>
        <v>2</v>
      </c>
    </row>
    <row r="13" customFormat="false" ht="15" hidden="false" customHeight="true" outlineLevel="0" collapsed="false">
      <c r="B13" s="17" t="str">
        <f aca="false">Edges!$F$24</f>
        <v>Street trees increase nearby property values.</v>
      </c>
      <c r="C13" s="3" t="str">
        <f aca="false">Edges!$D$24</f>
        <v>agree</v>
      </c>
      <c r="D13" s="11" t="n">
        <f aca="false">Edges!$J$24</f>
        <v>0</v>
      </c>
      <c r="E13" s="11" t="n">
        <f aca="false">Edges!$I$24</f>
        <v>0.5</v>
      </c>
      <c r="F13" s="11" t="n">
        <f aca="false">Edges!$K$24</f>
        <v>0</v>
      </c>
    </row>
    <row r="14" customFormat="false" ht="15" hidden="false" customHeight="true" outlineLevel="0" collapsed="false">
      <c r="B14" s="17" t="str">
        <f aca="false">Edges!$F$25</f>
        <v>Tree roots damage sidewalks and raise repair costs.</v>
      </c>
      <c r="C14" s="3" t="str">
        <f aca="false">Edges!$D$25</f>
        <v>disagree</v>
      </c>
      <c r="D14" s="11" t="n">
        <f aca="false">Edges!$J$25</f>
        <v>1</v>
      </c>
      <c r="E14" s="11" t="n">
        <f aca="false">Edges!$I$25</f>
        <v>0.5</v>
      </c>
      <c r="F14" s="11" t="n">
        <f aca="false">Edges!$K$25</f>
        <v>0.5</v>
      </c>
    </row>
    <row r="15" customFormat="false" ht="15" hidden="false" customHeight="true" outlineLevel="0" collapsed="false">
      <c r="A15" s="3" t="s">
        <v>173</v>
      </c>
      <c r="B15" s="3" t="s">
        <v>174</v>
      </c>
      <c r="C15" s="7" t="s">
        <v>175</v>
      </c>
      <c r="D15" s="12" t="n">
        <f aca="false">Nodes!$F$23</f>
        <v>2</v>
      </c>
    </row>
    <row r="16" customFormat="false" ht="15" hidden="false" customHeight="true" outlineLevel="0" collapsed="false">
      <c r="A16" s="3" t="s">
        <v>176</v>
      </c>
      <c r="B16" s="3" t="s">
        <v>177</v>
      </c>
      <c r="C16" s="7" t="s">
        <v>178</v>
      </c>
      <c r="D16" s="12" t="n">
        <f aca="false">Nodes!$G$23</f>
        <v>0.5</v>
      </c>
    </row>
    <row r="17" customFormat="false" ht="15" hidden="false" customHeight="true" outlineLevel="0" collapsed="false">
      <c r="A17" s="3" t="s">
        <v>179</v>
      </c>
      <c r="B17" s="3" t="s">
        <v>180</v>
      </c>
      <c r="C17" s="7" t="s">
        <v>181</v>
      </c>
      <c r="D17" s="12" t="n">
        <f aca="false">Settings!$B$3</f>
        <v>0.7</v>
      </c>
    </row>
    <row r="18" customFormat="false" ht="15" hidden="false" customHeight="true" outlineLevel="0" collapsed="false">
      <c r="A18" s="3" t="s">
        <v>182</v>
      </c>
      <c r="B18" s="3" t="s">
        <v>183</v>
      </c>
      <c r="C18" s="7" t="s">
        <v>184</v>
      </c>
      <c r="D18" s="19" t="n">
        <f aca="false">Nodes!$D$23-Nodes!$E$23+Settings!$B$3*(Nodes!$F$23-Nodes!$G$23)</f>
        <v>2.05</v>
      </c>
    </row>
    <row r="19" customFormat="false" ht="15" hidden="false" customHeight="true" outlineLevel="0" collapsed="false">
      <c r="B19" s="7" t="s">
        <v>185</v>
      </c>
      <c r="D19" s="5" t="str">
        <f aca="false">IF(ABS(D18-Nodes!$H$23)&lt;0.0000001,"YES","NO")</f>
        <v>YES</v>
      </c>
    </row>
    <row r="22" customFormat="false" ht="15" hidden="false" customHeight="true" outlineLevel="0" collapsed="false">
      <c r="A22" s="9" t="s">
        <v>186</v>
      </c>
    </row>
    <row r="24" customFormat="false" ht="15" hidden="false" customHeight="true" outlineLevel="0" collapsed="false">
      <c r="A24" s="10" t="s">
        <v>153</v>
      </c>
      <c r="B24" s="10" t="s">
        <v>154</v>
      </c>
      <c r="C24" s="10" t="s">
        <v>155</v>
      </c>
      <c r="D24" s="10" t="s">
        <v>156</v>
      </c>
    </row>
    <row r="25" customFormat="false" ht="15" hidden="false" customHeight="true" outlineLevel="0" collapsed="false">
      <c r="A25" s="3" t="s">
        <v>157</v>
      </c>
      <c r="B25" s="3" t="s">
        <v>158</v>
      </c>
      <c r="C25" s="7" t="s">
        <v>159</v>
      </c>
      <c r="D25" s="18" t="n">
        <f aca="false">Nodes!$D$5</f>
        <v>4</v>
      </c>
    </row>
    <row r="26" customFormat="false" ht="15" hidden="false" customHeight="true" outlineLevel="0" collapsed="false">
      <c r="A26" s="3" t="s">
        <v>160</v>
      </c>
      <c r="B26" s="3" t="s">
        <v>161</v>
      </c>
      <c r="C26" s="7" t="s">
        <v>162</v>
      </c>
      <c r="D26" s="18" t="n">
        <f aca="false">Nodes!$E$5</f>
        <v>0</v>
      </c>
    </row>
    <row r="27" customFormat="false" ht="15" hidden="false" customHeight="true" outlineLevel="0" collapsed="false">
      <c r="A27" s="3" t="s">
        <v>163</v>
      </c>
      <c r="B27" s="3" t="s">
        <v>164</v>
      </c>
      <c r="C27" s="7" t="s">
        <v>165</v>
      </c>
      <c r="D27" s="18" t="n">
        <f aca="false">Nodes!$D$5-Nodes!$E$5</f>
        <v>4</v>
      </c>
    </row>
    <row r="28" customFormat="false" ht="15" hidden="false" customHeight="true" outlineLevel="0" collapsed="false">
      <c r="A28" s="3" t="s">
        <v>166</v>
      </c>
      <c r="B28" s="3" t="s">
        <v>167</v>
      </c>
      <c r="C28" s="7" t="s">
        <v>168</v>
      </c>
    </row>
    <row r="29" customFormat="false" ht="15" hidden="false" customHeight="true" outlineLevel="0" collapsed="false">
      <c r="B29" s="10" t="s">
        <v>169</v>
      </c>
      <c r="C29" s="10" t="s">
        <v>109</v>
      </c>
      <c r="D29" s="10" t="s">
        <v>170</v>
      </c>
      <c r="E29" s="10" t="s">
        <v>171</v>
      </c>
      <c r="F29" s="10" t="s">
        <v>172</v>
      </c>
    </row>
    <row r="30" customFormat="false" ht="15" hidden="false" customHeight="true" outlineLevel="0" collapsed="false">
      <c r="B30" s="17" t="str">
        <f aca="false">Edges!$F$5</f>
        <v>Many LDS church leaders have encouraged the complete and utter loyalty to the Truth.</v>
      </c>
      <c r="C30" s="3" t="str">
        <f aca="false">Edges!$D$5</f>
        <v>agree</v>
      </c>
      <c r="D30" s="11" t="n">
        <f aca="false">Edges!$J$5</f>
        <v>5.57</v>
      </c>
      <c r="E30" s="11" t="n">
        <f aca="false">Edges!$I$5</f>
        <v>1</v>
      </c>
      <c r="F30" s="11" t="n">
        <f aca="false">Edges!$K$5</f>
        <v>5.57</v>
      </c>
    </row>
    <row r="31" customFormat="false" ht="15" hidden="false" customHeight="true" outlineLevel="0" collapsed="false">
      <c r="B31" s="17" t="str">
        <f aca="false">Edges!$F$6</f>
        <v>LDS doctrine teaches that you cannot be saved in ignorance.</v>
      </c>
      <c r="C31" s="3" t="str">
        <f aca="false">Edges!$D$6</f>
        <v>agree</v>
      </c>
      <c r="D31" s="11" t="n">
        <f aca="false">Edges!$J$6</f>
        <v>2</v>
      </c>
      <c r="E31" s="11" t="n">
        <f aca="false">Edges!$I$6</f>
        <v>1</v>
      </c>
      <c r="F31" s="11" t="n">
        <f aca="false">Edges!$K$6</f>
        <v>2</v>
      </c>
    </row>
    <row r="32" customFormat="false" ht="15" hidden="false" customHeight="true" outlineLevel="0" collapsed="false">
      <c r="B32" s="17" t="str">
        <f aca="false">Edges!$F$7</f>
        <v>If you cannot be saved in ignorance, you will eventually learn about all the Church's warts.</v>
      </c>
      <c r="C32" s="3" t="str">
        <f aca="false">Edges!$D$7</f>
        <v>agree</v>
      </c>
      <c r="D32" s="11" t="n">
        <f aca="false">Edges!$J$7</f>
        <v>1</v>
      </c>
      <c r="E32" s="11" t="n">
        <f aca="false">Edges!$I$7</f>
        <v>1</v>
      </c>
      <c r="F32" s="11" t="n">
        <f aca="false">Edges!$K$7</f>
        <v>1</v>
      </c>
    </row>
    <row r="33" customFormat="false" ht="15" hidden="false" customHeight="true" outlineLevel="0" collapsed="false">
      <c r="B33" s="17" t="str">
        <f aca="false">Edges!$F$8</f>
        <v>Even if the Mormon Church is true, its leaders should not use half truths to keep people in it.</v>
      </c>
      <c r="C33" s="3" t="str">
        <f aca="false">Edges!$D$8</f>
        <v>agree</v>
      </c>
      <c r="D33" s="11" t="n">
        <f aca="false">Edges!$J$8</f>
        <v>1</v>
      </c>
      <c r="E33" s="11" t="n">
        <f aca="false">Edges!$I$8</f>
        <v>1</v>
      </c>
      <c r="F33" s="11" t="n">
        <f aca="false">Edges!$K$8</f>
        <v>1</v>
      </c>
    </row>
    <row r="34" customFormat="false" ht="15" hidden="false" customHeight="true" outlineLevel="0" collapsed="false">
      <c r="A34" s="3" t="s">
        <v>173</v>
      </c>
      <c r="B34" s="3" t="s">
        <v>174</v>
      </c>
      <c r="C34" s="7" t="s">
        <v>175</v>
      </c>
      <c r="D34" s="12" t="n">
        <f aca="false">Nodes!$F$5</f>
        <v>9.57</v>
      </c>
    </row>
    <row r="35" customFormat="false" ht="15" hidden="false" customHeight="true" outlineLevel="0" collapsed="false">
      <c r="A35" s="3" t="s">
        <v>176</v>
      </c>
      <c r="B35" s="3" t="s">
        <v>177</v>
      </c>
      <c r="C35" s="7" t="s">
        <v>178</v>
      </c>
      <c r="D35" s="12" t="n">
        <f aca="false">Nodes!$G$5</f>
        <v>0</v>
      </c>
    </row>
    <row r="36" customFormat="false" ht="15" hidden="false" customHeight="true" outlineLevel="0" collapsed="false">
      <c r="A36" s="3" t="s">
        <v>179</v>
      </c>
      <c r="B36" s="3" t="s">
        <v>180</v>
      </c>
      <c r="C36" s="7" t="s">
        <v>181</v>
      </c>
      <c r="D36" s="12" t="n">
        <f aca="false">Settings!$B$3</f>
        <v>0.7</v>
      </c>
    </row>
    <row r="37" customFormat="false" ht="15" hidden="false" customHeight="true" outlineLevel="0" collapsed="false">
      <c r="A37" s="3" t="s">
        <v>182</v>
      </c>
      <c r="B37" s="3" t="s">
        <v>183</v>
      </c>
      <c r="C37" s="7" t="s">
        <v>184</v>
      </c>
      <c r="D37" s="19" t="n">
        <f aca="false">Nodes!$D$5-Nodes!$E$5+Settings!$B$3*(Nodes!$F$5-Nodes!$G$5)</f>
        <v>10.699</v>
      </c>
    </row>
    <row r="38" customFormat="false" ht="15" hidden="false" customHeight="true" outlineLevel="0" collapsed="false">
      <c r="B38" s="7" t="s">
        <v>185</v>
      </c>
      <c r="D38" s="5" t="str">
        <f aca="false">IF(ABS(D37-Nodes!$H$5)&lt;0.0000001,"YES","NO")</f>
        <v>YES</v>
      </c>
    </row>
    <row r="41" customFormat="false" ht="15" hidden="false" customHeight="true" outlineLevel="0" collapsed="false">
      <c r="A41" s="9" t="s">
        <v>187</v>
      </c>
    </row>
    <row r="42" customFormat="false" ht="15" hidden="false" customHeight="true" outlineLevel="0" collapsed="false">
      <c r="A42" s="7" t="s">
        <v>188</v>
      </c>
    </row>
    <row r="44" customFormat="false" ht="15" hidden="false" customHeight="true" outlineLevel="0" collapsed="false">
      <c r="A44" s="10" t="s">
        <v>189</v>
      </c>
      <c r="B44" s="10" t="s">
        <v>190</v>
      </c>
      <c r="C44" s="10" t="s">
        <v>191</v>
      </c>
    </row>
    <row r="45" customFormat="false" ht="15" hidden="false" customHeight="true" outlineLevel="0" collapsed="false">
      <c r="A45" s="14" t="n">
        <v>4</v>
      </c>
      <c r="B45" s="14" t="n">
        <v>0</v>
      </c>
      <c r="C45" s="12" t="n">
        <f aca="false">IF(A45+B45=0,1,(A45-B45)/(A45+B45))</f>
        <v>1</v>
      </c>
    </row>
    <row r="46" customFormat="false" ht="15" hidden="false" customHeight="true" outlineLevel="0" collapsed="false">
      <c r="A46" s="14" t="n">
        <v>3</v>
      </c>
      <c r="B46" s="14" t="n">
        <v>1</v>
      </c>
      <c r="C46" s="12" t="n">
        <f aca="false">IF(A46+B46=0,1,(A46-B46)/(A46+B46))</f>
        <v>0.5</v>
      </c>
    </row>
    <row r="47" customFormat="false" ht="15" hidden="false" customHeight="true" outlineLevel="0" collapsed="false">
      <c r="A47" s="14" t="n">
        <v>2</v>
      </c>
      <c r="B47" s="14" t="n">
        <v>2</v>
      </c>
      <c r="C47" s="12" t="n">
        <f aca="false">IF(A47+B47=0,1,(A47-B47)/(A47+B47))</f>
        <v>0</v>
      </c>
    </row>
    <row r="48" customFormat="false" ht="15" hidden="false" customHeight="true" outlineLevel="0" collapsed="false">
      <c r="A48" s="14" t="n">
        <v>1</v>
      </c>
      <c r="B48" s="14" t="n">
        <v>3</v>
      </c>
      <c r="C48" s="12" t="n">
        <f aca="false">IF(A48+B48=0,1,(A48-B48)/(A48+B48))</f>
        <v>-0.5</v>
      </c>
    </row>
    <row r="49" customFormat="false" ht="15" hidden="false" customHeight="true" outlineLevel="0" collapsed="false">
      <c r="A49" s="14" t="n">
        <v>0</v>
      </c>
      <c r="B49" s="14" t="n">
        <v>0</v>
      </c>
      <c r="C49" s="12" t="n">
        <f aca="false">IF(A49+B49=0,1,(A49-B49)/(A49+B49))</f>
        <v>1</v>
      </c>
    </row>
    <row r="50" customFormat="false" ht="15" hidden="false" customHeight="true" outlineLevel="0" collapsed="false">
      <c r="A50" s="7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2026-07-19T03:47:02Z</dcterms:created>
  <dc:creator>openpyxl</dc:creator>
  <dc:description/>
  <dc:language>en-US</dc:language>
  <cp:lastModifiedBy/>
  <dcterms:modified xsi:type="dcterms:W3CDTF">2026-07-19T03:54:48Z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